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고정비" sheetId="2" state="visible" r:id="rId2"/>
    <sheet xmlns:r="http://schemas.openxmlformats.org/officeDocument/2006/relationships" name="라이프페이즈" sheetId="3" state="visible" r:id="rId3"/>
    <sheet xmlns:r="http://schemas.openxmlformats.org/officeDocument/2006/relationships" name="인당고정비" sheetId="4" state="visible" r:id="rId4"/>
    <sheet xmlns:r="http://schemas.openxmlformats.org/officeDocument/2006/relationships" name="7월생존" sheetId="5" state="visible" r:id="rId5"/>
    <sheet xmlns:r="http://schemas.openxmlformats.org/officeDocument/2006/relationships" name="2026급여배분" sheetId="6" state="visible" r:id="rId6"/>
    <sheet xmlns:r="http://schemas.openxmlformats.org/officeDocument/2006/relationships" name="통장구조" sheetId="7" state="visible" r:id="rId7"/>
    <sheet xmlns:r="http://schemas.openxmlformats.org/officeDocument/2006/relationships" name="집자금인출" sheetId="8" state="visible" r:id="rId8"/>
    <sheet xmlns:r="http://schemas.openxmlformats.org/officeDocument/2006/relationships" name="10월자산분배" sheetId="9" state="visible" r:id="rId9"/>
    <sheet xmlns:r="http://schemas.openxmlformats.org/officeDocument/2006/relationships" name="월예산" sheetId="10" state="visible" r:id="rId10"/>
    <sheet xmlns:r="http://schemas.openxmlformats.org/officeDocument/2006/relationships" name="투자종목" sheetId="11" state="visible" r:id="rId11"/>
    <sheet xmlns:r="http://schemas.openxmlformats.org/officeDocument/2006/relationships" name="세금최적화" sheetId="12" state="visible" r:id="rId12"/>
    <sheet xmlns:r="http://schemas.openxmlformats.org/officeDocument/2006/relationships" name="타임라인" sheetId="13" state="visible" r:id="rId13"/>
    <sheet xmlns:r="http://schemas.openxmlformats.org/officeDocument/2006/relationships" name="월별저축" sheetId="14" state="visible" r:id="rId14"/>
    <sheet xmlns:r="http://schemas.openxmlformats.org/officeDocument/2006/relationships" name="입주후저축" sheetId="15" state="visible" r:id="rId15"/>
    <sheet xmlns:r="http://schemas.openxmlformats.org/officeDocument/2006/relationships" name="출산시나리오" sheetId="16" state="visible" r:id="rId16"/>
    <sheet xmlns:r="http://schemas.openxmlformats.org/officeDocument/2006/relationships" name="용돈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</cols>
  <sheetData>
    <row r="1">
      <c r="A1" s="1" t="inlineStr">
        <is>
          <t>인생 플랜 (운정 59형 · 2인 가구)</t>
        </is>
      </c>
    </row>
    <row r="3">
      <c r="A3" t="inlineStr">
        <is>
          <t>작성일</t>
        </is>
      </c>
      <c r="B3" t="inlineStr">
        <is>
          <t>2026-07-02</t>
        </is>
      </c>
    </row>
    <row r="4">
      <c r="A4" t="inlineStr">
        <is>
          <t>Person1</t>
        </is>
      </c>
      <c r="B4" t="inlineStr">
        <is>
          <t>현철 (연 3,300만·2026-05-18 입사·수습 90%)</t>
        </is>
      </c>
    </row>
    <row r="5">
      <c r="A5" t="inlineStr">
        <is>
          <t>Person2</t>
        </is>
      </c>
      <c r="B5" t="inlineStr">
        <is>
          <t>여친 (연 1,661만)</t>
        </is>
      </c>
    </row>
    <row r="6">
      <c r="A6" t="inlineStr">
        <is>
          <t>혼인</t>
        </is>
      </c>
      <c r="B6" t="inlineStr">
        <is>
          <t>2027년 말 ~ 2028년 (비혼 기간 세금·저축 최적화)</t>
        </is>
      </c>
    </row>
    <row r="7">
      <c r="A7" t="inlineStr">
        <is>
          <t>주택 목표</t>
        </is>
      </c>
      <c r="B7" t="inlineStr">
        <is>
          <t>파주 운정 59형 신축 입주 (목표 2031~2032)</t>
        </is>
      </c>
    </row>
    <row r="8">
      <c r="A8" t="inlineStr">
        <is>
          <t>허리띠 최대</t>
        </is>
      </c>
      <c r="B8" t="inlineStr">
        <is>
          <t>2031~2032 입주 전후 (이후 완화)</t>
        </is>
      </c>
    </row>
    <row r="9">
      <c r="A9" t="inlineStr">
        <is>
          <t>숨통 트임</t>
        </is>
      </c>
      <c r="B9" t="inlineStr">
        <is>
          <t>2033~2034 · 입주 후 월 여유 ~73만</t>
        </is>
      </c>
    </row>
    <row r="10">
      <c r="A10" t="inlineStr">
        <is>
          <t>월 세후 합산</t>
        </is>
      </c>
      <c r="B10" t="n">
        <v>4698532</v>
      </c>
    </row>
    <row r="11">
      <c r="A11" t="inlineStr">
        <is>
          <t>월 고정비</t>
        </is>
      </c>
      <c r="B11">
        <f>'고정비'!D33</f>
        <v/>
      </c>
    </row>
    <row r="12">
      <c r="A12" t="inlineStr">
        <is>
          <t>월 식비(장보기)</t>
        </is>
      </c>
      <c r="B12" t="n">
        <v>750000</v>
      </c>
    </row>
    <row r="13">
      <c r="A13" t="inlineStr">
        <is>
          <t>월 용돈</t>
        </is>
      </c>
      <c r="B13" t="n">
        <v>250000</v>
      </c>
    </row>
    <row r="14">
      <c r="A14" t="inlineStr">
        <is>
          <t>월 투자·저축</t>
        </is>
      </c>
      <c r="B14" t="n">
        <v>2185081</v>
      </c>
    </row>
    <row r="15">
      <c r="A15" t="inlineStr">
        <is>
          <t>계약금 목표</t>
        </is>
      </c>
      <c r="B15" t="n">
        <v>50000000</v>
      </c>
    </row>
    <row r="16">
      <c r="A16" t="inlineStr">
        <is>
          <t>비고</t>
        </is>
      </c>
      <c r="B16" t="inlineStr">
        <is>
          <t>7월=현철 월급만 · 8월~=자산분배 시트 참고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40" customWidth="1" min="5" max="5"/>
  </cols>
  <sheetData>
    <row r="1">
      <c r="A1" s="1" t="inlineStr">
        <is>
          <t>고정비 항목별 (노란 칸 = 직접 수정)</t>
        </is>
      </c>
    </row>
    <row r="3">
      <c r="A3" s="2" t="inlineStr">
        <is>
          <t>항목</t>
        </is>
      </c>
      <c r="B3" s="2" t="inlineStr">
        <is>
          <t>단가/금액(원)</t>
        </is>
      </c>
      <c r="C3" s="2" t="inlineStr">
        <is>
          <t>수량/일수</t>
        </is>
      </c>
      <c r="D3" s="2" t="inlineStr">
        <is>
          <t>월(원)</t>
        </is>
      </c>
      <c r="E3" s="2" t="inlineStr">
        <is>
          <t>메모</t>
        </is>
      </c>
    </row>
    <row r="4">
      <c r="A4" t="inlineStr">
        <is>
          <t>[1] 생활 고정비</t>
        </is>
      </c>
      <c r="E4" t="inlineStr">
        <is>
          <t>월 금액은 D열에 직접 입력</t>
        </is>
      </c>
    </row>
    <row r="5">
      <c r="A5" t="inlineStr">
        <is>
          <t>월세+관리비</t>
        </is>
      </c>
      <c r="D5" t="n">
        <v>600000</v>
      </c>
      <c r="E5" t="inlineStr">
        <is>
          <t>60만</t>
        </is>
      </c>
    </row>
    <row r="6">
      <c r="A6" t="inlineStr">
        <is>
          <t>전기</t>
        </is>
      </c>
      <c r="D6" t="n">
        <v>50000</v>
      </c>
      <c r="E6" t="inlineStr">
        <is>
          <t>추정 5만</t>
        </is>
      </c>
    </row>
    <row r="7">
      <c r="A7" t="inlineStr">
        <is>
          <t>KT</t>
        </is>
      </c>
      <c r="D7" t="n">
        <v>2890</v>
      </c>
      <c r="E7" t="inlineStr">
        <is>
          <t>FBS</t>
        </is>
      </c>
    </row>
    <row r="8">
      <c r="A8" t="inlineStr">
        <is>
          <t>SKT</t>
        </is>
      </c>
      <c r="D8" t="n">
        <v>34000</v>
      </c>
      <c r="E8" t="inlineStr">
        <is>
          <t>지로 6879</t>
        </is>
      </c>
    </row>
    <row r="9">
      <c r="A9" t="inlineStr">
        <is>
          <t>통신(여친)</t>
        </is>
      </c>
      <c r="D9" t="n">
        <v>20000</v>
      </c>
      <c r="E9" t="inlineStr"/>
    </row>
    <row r="10">
      <c r="A10" t="inlineStr">
        <is>
          <t>보험</t>
        </is>
      </c>
      <c r="D10" t="n">
        <v>138290</v>
      </c>
      <c r="E10" t="inlineStr">
        <is>
          <t>2026-06-04 138,290</t>
        </is>
      </c>
    </row>
    <row r="11">
      <c r="A11" t="inlineStr">
        <is>
          <t>iCloud</t>
        </is>
      </c>
      <c r="D11" t="n">
        <v>5000</v>
      </c>
      <c r="E11" t="inlineStr">
        <is>
          <t>카카오페이 등</t>
        </is>
      </c>
    </row>
    <row r="12">
      <c r="A12" t="inlineStr">
        <is>
          <t>쿠팡 와우</t>
        </is>
      </c>
      <c r="D12" t="n">
        <v>7890</v>
      </c>
      <c r="E12" t="inlineStr"/>
    </row>
    <row r="13">
      <c r="A13" t="inlineStr">
        <is>
          <t>림버스컴퍼니</t>
        </is>
      </c>
      <c r="D13" t="n">
        <v>14800</v>
      </c>
      <c r="E13" t="inlineStr">
        <is>
          <t>9900+4900</t>
        </is>
      </c>
    </row>
    <row r="14">
      <c r="A14" t="inlineStr">
        <is>
          <t>Spotify</t>
        </is>
      </c>
      <c r="D14" t="n">
        <v>11990</v>
      </c>
      <c r="E14" t="inlineStr"/>
    </row>
    <row r="15">
      <c r="A15" t="inlineStr">
        <is>
          <t>YouTube Premium</t>
        </is>
      </c>
      <c r="D15" t="n">
        <v>10900</v>
      </c>
      <c r="E15" t="inlineStr"/>
    </row>
    <row r="16">
      <c r="A16" t="inlineStr">
        <is>
          <t>Cursor</t>
        </is>
      </c>
      <c r="D16" t="n">
        <v>120000</v>
      </c>
      <c r="E16" t="inlineStr">
        <is>
          <t>Pro+ 12만/월</t>
        </is>
      </c>
    </row>
    <row r="17">
      <c r="A17" t="inlineStr">
        <is>
          <t>장학금 이자</t>
        </is>
      </c>
      <c r="D17" t="n">
        <v>7500</v>
      </c>
      <c r="E17" t="inlineStr">
        <is>
          <t>이자만</t>
        </is>
      </c>
    </row>
    <row r="18">
      <c r="A18" t="inlineStr">
        <is>
          <t>카카오 긴급생활</t>
        </is>
      </c>
      <c r="D18" t="n">
        <v>92220</v>
      </c>
      <c r="E18" t="inlineStr">
        <is>
          <t>6.7%·36m</t>
        </is>
      </c>
    </row>
    <row r="19">
      <c r="A19" t="inlineStr">
        <is>
          <t>건강보험(여친)</t>
        </is>
      </c>
      <c r="D19" t="n">
        <v>105371</v>
      </c>
      <c r="E19" t="inlineStr">
        <is>
          <t>직장가입 후</t>
        </is>
      </c>
    </row>
    <row r="21">
      <c r="A21" t="inlineStr">
        <is>
          <t>[교통] 정가 (요금×출근일)</t>
        </is>
      </c>
    </row>
    <row r="22">
      <c r="A22" t="inlineStr">
        <is>
          <t>정가-현철</t>
        </is>
      </c>
      <c r="B22" t="n">
        <v>9800</v>
      </c>
      <c r="C22" t="n">
        <v>22</v>
      </c>
      <c r="D22">
        <f>B22*C22</f>
        <v/>
      </c>
      <c r="E22" t="inlineStr">
        <is>
          <t>왕복 9800</t>
        </is>
      </c>
    </row>
    <row r="23">
      <c r="A23" t="inlineStr">
        <is>
          <t>정가-여친</t>
        </is>
      </c>
      <c r="B23" t="n">
        <v>3500</v>
      </c>
      <c r="C23" t="n">
        <v>22</v>
      </c>
      <c r="D23">
        <f>B23*C23</f>
        <v/>
      </c>
      <c r="E23" t="inlineStr">
        <is>
          <t>월화수토일·왕복 3500</t>
        </is>
      </c>
    </row>
    <row r="24">
      <c r="A24" t="inlineStr">
        <is>
          <t>정가 합계</t>
        </is>
      </c>
      <c r="D24">
        <f>D22+D23</f>
        <v/>
      </c>
    </row>
    <row r="25">
      <c r="A25" t="inlineStr">
        <is>
          <t>교통-현철</t>
        </is>
      </c>
      <c r="D25" t="n">
        <v>215600</v>
      </c>
      <c r="E25" t="inlineStr">
        <is>
          <t>왕복 9800×22</t>
        </is>
      </c>
    </row>
    <row r="26">
      <c r="A26" t="inlineStr">
        <is>
          <t>교통-여친</t>
        </is>
      </c>
      <c r="D26" t="n">
        <v>77000</v>
      </c>
      <c r="E26" t="inlineStr">
        <is>
          <t>왕복 3500×22</t>
        </is>
      </c>
    </row>
    <row r="27">
      <c r="A27" t="inlineStr">
        <is>
          <t>교통 합계</t>
        </is>
      </c>
      <c r="D27">
        <f>D25+D26</f>
        <v/>
      </c>
    </row>
    <row r="33">
      <c r="A33" t="inlineStr">
        <is>
          <t>고정비 합계</t>
        </is>
      </c>
      <c r="D33">
        <f>SUM(D5:D19)+D27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4" customWidth="1" min="4" max="4"/>
    <col width="14" customWidth="1" min="5" max="5"/>
    <col width="36" customWidth="1" min="6" max="6"/>
    <col width="40" customWidth="1" min="7" max="7"/>
  </cols>
  <sheetData>
    <row r="1">
      <c r="A1" s="1" t="inlineStr">
        <is>
          <t>허리띠는 죽을 때까지가 아님 — 집 사기 스프린트 ~5년</t>
        </is>
      </c>
    </row>
    <row r="2">
      <c r="A2" t="inlineStr">
        <is>
          <t>최대 조임: 2031~2032 입주 전후 · 완화: 2033~2034</t>
        </is>
      </c>
    </row>
    <row r="4">
      <c r="A4" s="2" t="inlineStr">
        <is>
          <t>단계</t>
        </is>
      </c>
      <c r="B4" s="2" t="inlineStr">
        <is>
          <t>이름</t>
        </is>
      </c>
      <c r="C4" s="2" t="inlineStr">
        <is>
          <t>기간</t>
        </is>
      </c>
      <c r="D4" s="2" t="inlineStr">
        <is>
          <t>허리띠</t>
        </is>
      </c>
      <c r="E4" s="2" t="inlineStr">
        <is>
          <t>월 여유(원)</t>
        </is>
      </c>
      <c r="F4" s="2" t="inlineStr">
        <is>
          <t>요약</t>
        </is>
      </c>
      <c r="G4" s="2" t="inlineStr">
        <is>
          <t>할 일</t>
        </is>
      </c>
    </row>
    <row r="5">
      <c r="A5" t="inlineStr">
        <is>
          <t>P0</t>
        </is>
      </c>
      <c r="B5" t="inlineStr">
        <is>
          <t>생존</t>
        </is>
      </c>
      <c r="C5" t="inlineStr">
        <is>
          <t>2026.07</t>
        </is>
      </c>
      <c r="D5" t="inlineStr">
        <is>
          <t>🔴 최대</t>
        </is>
      </c>
      <c r="E5" t="n">
        <v>102777</v>
      </c>
      <c r="F5" t="inlineStr">
        <is>
          <t>현철 월급만·ISA/연금 보류</t>
        </is>
      </c>
      <c r="G5" t="inlineStr">
        <is>
          <t>고정비 140만·식비 55만·여친 소득 0·잔액 CMA</t>
        </is>
      </c>
    </row>
    <row r="6">
      <c r="A6" t="inlineStr">
        <is>
          <t>P1</t>
        </is>
      </c>
      <c r="B6" t="inlineStr">
        <is>
          <t>저축전성</t>
        </is>
      </c>
      <c r="C6" t="inlineStr">
        <is>
          <t>2026.08 ~ 2028.상반기</t>
        </is>
      </c>
      <c r="D6" t="inlineStr">
        <is>
          <t>🔴 빡셈</t>
        </is>
      </c>
      <c r="E6" t="n">
        <v>0</v>
      </c>
      <c r="F6" t="inlineStr">
        <is>
          <t>세후 ~470만 전부 배분·여가 0</t>
        </is>
      </c>
      <c r="G6" t="inlineStr">
        <is>
          <t>집마련 143만·ISA 50·연금 20·용돈 25만 유지</t>
        </is>
      </c>
    </row>
    <row r="7">
      <c r="A7" t="inlineStr">
        <is>
          <t>P2</t>
        </is>
      </c>
      <c r="B7" t="inlineStr">
        <is>
          <t>혼인·비자</t>
        </is>
      </c>
      <c r="C7" t="inlineStr">
        <is>
          <t>2028.하반기 ~ 2029</t>
        </is>
      </c>
      <c r="D7" t="inlineStr">
        <is>
          <t>🟠 빡셈+이벤트</t>
        </is>
      </c>
      <c r="E7" t="n">
        <v>0</v>
      </c>
      <c r="F7" t="inlineStr">
        <is>
          <t>혼인신고·예식 일회성 1~2천만</t>
        </is>
      </c>
      <c r="G7" t="inlineStr">
        <is>
          <t>D-10→F-6·신혼특공 준비·계약금 5천만 목표</t>
        </is>
      </c>
    </row>
    <row r="8">
      <c r="A8" t="inlineStr">
        <is>
          <t>P3</t>
        </is>
      </c>
      <c r="B8" t="inlineStr">
        <is>
          <t>분양·대기</t>
        </is>
      </c>
      <c r="C8" t="inlineStr">
        <is>
          <t>2029 ~ 2031 입주 전</t>
        </is>
      </c>
      <c r="D8" t="inlineStr">
        <is>
          <t>🟠 유지</t>
        </is>
      </c>
      <c r="E8" t="n">
        <v>92220</v>
      </c>
      <c r="F8" t="inlineStr">
        <is>
          <t>카카오 상환 종료(2029.06) → 월 +92,220원 숨통</t>
        </is>
      </c>
      <c r="G8" t="inlineStr">
        <is>
          <t>중도금·집단대출·입주 자금 1억 확보</t>
        </is>
      </c>
    </row>
    <row r="9">
      <c r="A9" t="inlineStr">
        <is>
          <t>P4</t>
        </is>
      </c>
      <c r="B9" t="inlineStr">
        <is>
          <t>입주 전환</t>
        </is>
      </c>
      <c r="C9" t="inlineStr">
        <is>
          <t>2031 ~ 2032</t>
        </is>
      </c>
      <c r="D9" t="inlineStr">
        <is>
          <t>🟡 완화 시작</t>
        </is>
      </c>
      <c r="E9" t="n">
        <v>735081</v>
      </c>
      <c r="F9" t="inlineStr">
        <is>
          <t>집마련 저축 끝·월세→대출·월 여유 회복</t>
        </is>
      </c>
      <c r="G9" t="inlineStr">
        <is>
          <t>디딤돌 28,000만·CMA+ISA 인출·이사</t>
        </is>
      </c>
    </row>
    <row r="10">
      <c r="A10" t="inlineStr">
        <is>
          <t>P5</t>
        </is>
      </c>
      <c r="B10" t="inlineStr">
        <is>
          <t>안정</t>
        </is>
      </c>
      <c r="C10" t="inlineStr">
        <is>
          <t>2033 ~ 2035</t>
        </is>
      </c>
      <c r="D10" t="inlineStr">
        <is>
          <t>🟢 숨 쉼</t>
        </is>
      </c>
      <c r="E10" t="n">
        <v>735081</v>
      </c>
      <c r="F10" t="inlineStr">
        <is>
          <t>용돈·식비·여가 예산 재배분 (월 60~80만 여유)</t>
        </is>
      </c>
      <c r="G10" t="inlineStr">
        <is>
          <t>용돈 30~40만·외식·취미 복구·ISA는 선택</t>
        </is>
      </c>
    </row>
    <row r="11">
      <c r="A11" t="inlineStr">
        <is>
          <t>P6</t>
        </is>
      </c>
      <c r="B11" t="inlineStr">
        <is>
          <t>중장기</t>
        </is>
      </c>
      <c r="C11" t="inlineStr">
        <is>
          <t>2036~</t>
        </is>
      </c>
      <c r="D11" t="inlineStr">
        <is>
          <t>⚪ 일상</t>
        </is>
      </c>
      <c r="E11" t="inlineStr">
        <is>
          <t>소득↑ 가정</t>
        </is>
      </c>
      <c r="F11" t="inlineStr">
        <is>
          <t>대출은 갚되 자산은 쌓임·연금은 백그라운드</t>
        </is>
      </c>
      <c r="G11" t="inlineStr">
        <is>
          <t>출산·승진·추가 저축은 선택·허리띠 상시 조임 아님</t>
        </is>
      </c>
    </row>
    <row r="13">
      <c r="A13" t="inlineStr">
        <is>
          <t>입주 후 참고</t>
        </is>
      </c>
      <c r="F13" t="inlineStr">
        <is>
          <t>대출 월 1,150,000 · 집마련 저축 중단 · 여유 735,081원/월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담당</t>
        </is>
      </c>
      <c r="B1" s="2" t="inlineStr">
        <is>
          <t>항목</t>
        </is>
      </c>
      <c r="C1" s="2" t="inlineStr">
        <is>
          <t>월(원)</t>
        </is>
      </c>
      <c r="D1" s="2" t="inlineStr">
        <is>
          <t>메모</t>
        </is>
      </c>
    </row>
    <row r="2">
      <c r="A2" t="inlineStr">
        <is>
          <t>현철</t>
        </is>
      </c>
      <c r="B2" t="inlineStr">
        <is>
          <t>월세+전기 ½→공동</t>
        </is>
      </c>
      <c r="C2" t="n">
        <v>325000</v>
      </c>
      <c r="D2" t="inlineStr">
        <is>
          <t>KB 공동</t>
        </is>
      </c>
    </row>
    <row r="3">
      <c r="A3" t="inlineStr">
        <is>
          <t>현철</t>
        </is>
      </c>
      <c r="B3" t="inlineStr">
        <is>
          <t>식비 몫→공동</t>
        </is>
      </c>
      <c r="C3" t="n">
        <v>383250</v>
      </c>
      <c r="D3" t="inlineStr">
        <is>
          <t>KB 공동</t>
        </is>
      </c>
    </row>
    <row r="4">
      <c r="A4" t="inlineStr">
        <is>
          <t>현철</t>
        </is>
      </c>
      <c r="B4" t="inlineStr">
        <is>
          <t>KT</t>
        </is>
      </c>
      <c r="C4" t="n">
        <v>2890</v>
      </c>
      <c r="D4" t="inlineStr">
        <is>
          <t>FBS</t>
        </is>
      </c>
    </row>
    <row r="5">
      <c r="A5" t="inlineStr">
        <is>
          <t>현철</t>
        </is>
      </c>
      <c r="B5" t="inlineStr">
        <is>
          <t>SKT</t>
        </is>
      </c>
      <c r="C5" t="n">
        <v>34000</v>
      </c>
      <c r="D5" t="inlineStr">
        <is>
          <t>지로</t>
        </is>
      </c>
    </row>
    <row r="6">
      <c r="A6" t="inlineStr">
        <is>
          <t>현철</t>
        </is>
      </c>
      <c r="B6" t="inlineStr">
        <is>
          <t>보험</t>
        </is>
      </c>
      <c r="C6" t="n">
        <v>138290</v>
      </c>
      <c r="D6" t="inlineStr">
        <is>
          <t>KB카드</t>
        </is>
      </c>
    </row>
    <row r="7">
      <c r="A7" t="inlineStr">
        <is>
          <t>현철</t>
        </is>
      </c>
      <c r="B7" t="inlineStr">
        <is>
          <t>iCloud</t>
        </is>
      </c>
      <c r="C7" t="n">
        <v>5000</v>
      </c>
      <c r="D7" t="inlineStr">
        <is>
          <t>카카오</t>
        </is>
      </c>
    </row>
    <row r="8">
      <c r="A8" t="inlineStr">
        <is>
          <t>현철</t>
        </is>
      </c>
      <c r="B8" t="inlineStr">
        <is>
          <t>쿠팡 와우</t>
        </is>
      </c>
      <c r="C8" t="n">
        <v>7890</v>
      </c>
      <c r="D8" t="inlineStr"/>
    </row>
    <row r="9">
      <c r="A9" t="inlineStr">
        <is>
          <t>현철</t>
        </is>
      </c>
      <c r="B9" t="inlineStr">
        <is>
          <t>림버스</t>
        </is>
      </c>
      <c r="C9" t="n">
        <v>14800</v>
      </c>
      <c r="D9" t="inlineStr"/>
    </row>
    <row r="10">
      <c r="A10" t="inlineStr">
        <is>
          <t>현철</t>
        </is>
      </c>
      <c r="B10" t="inlineStr">
        <is>
          <t>Spotify</t>
        </is>
      </c>
      <c r="C10" t="n">
        <v>11990</v>
      </c>
      <c r="D10" t="inlineStr">
        <is>
          <t>3일</t>
        </is>
      </c>
    </row>
    <row r="11">
      <c r="A11" t="inlineStr">
        <is>
          <t>현철</t>
        </is>
      </c>
      <c r="B11" t="inlineStr">
        <is>
          <t>YouTube</t>
        </is>
      </c>
      <c r="C11" t="n">
        <v>10900</v>
      </c>
      <c r="D11" t="inlineStr"/>
    </row>
    <row r="12">
      <c r="A12" t="inlineStr">
        <is>
          <t>현철</t>
        </is>
      </c>
      <c r="B12" t="inlineStr">
        <is>
          <t>Cursor</t>
        </is>
      </c>
      <c r="C12" t="n">
        <v>120000</v>
      </c>
      <c r="D12" t="inlineStr"/>
    </row>
    <row r="13">
      <c r="A13" t="inlineStr">
        <is>
          <t>현철</t>
        </is>
      </c>
      <c r="B13" t="inlineStr">
        <is>
          <t>장학금 이자</t>
        </is>
      </c>
      <c r="C13" t="n">
        <v>7500</v>
      </c>
      <c r="D13" t="inlineStr"/>
    </row>
    <row r="14">
      <c r="A14" t="inlineStr">
        <is>
          <t>현철</t>
        </is>
      </c>
      <c r="B14" t="inlineStr">
        <is>
          <t>카카오 긴급</t>
        </is>
      </c>
      <c r="C14" t="n">
        <v>92220</v>
      </c>
      <c r="D14" t="inlineStr">
        <is>
          <t>카뱅</t>
        </is>
      </c>
    </row>
    <row r="15">
      <c r="A15" t="inlineStr">
        <is>
          <t>현철</t>
        </is>
      </c>
      <c r="B15" t="inlineStr">
        <is>
          <t>교통</t>
        </is>
      </c>
      <c r="C15" t="n">
        <v>215600</v>
      </c>
      <c r="D15" t="inlineStr">
        <is>
          <t>정가</t>
        </is>
      </c>
    </row>
    <row r="16">
      <c r="B16" t="inlineStr">
        <is>
          <t>합계</t>
        </is>
      </c>
      <c r="C16" t="n">
        <v>986080</v>
      </c>
      <c r="D16" t="inlineStr">
        <is>
          <t>개인고정 상시 661,080 · 공동이체 708,250</t>
        </is>
      </c>
    </row>
    <row r="18">
      <c r="A18" t="inlineStr">
        <is>
          <t>여친</t>
        </is>
      </c>
      <c r="B18" t="inlineStr">
        <is>
          <t>월세+전기 ½→공동</t>
        </is>
      </c>
      <c r="C18" t="n">
        <v>325000</v>
      </c>
      <c r="D18" t="inlineStr">
        <is>
          <t>KB 공동</t>
        </is>
      </c>
    </row>
    <row r="19">
      <c r="A19" t="inlineStr">
        <is>
          <t>여친</t>
        </is>
      </c>
      <c r="B19" t="inlineStr">
        <is>
          <t>식비 몫→공동</t>
        </is>
      </c>
      <c r="C19" t="n">
        <v>366750</v>
      </c>
      <c r="D19" t="inlineStr">
        <is>
          <t>KB 공동</t>
        </is>
      </c>
    </row>
    <row r="20">
      <c r="A20" t="inlineStr">
        <is>
          <t>여친</t>
        </is>
      </c>
      <c r="B20" t="inlineStr">
        <is>
          <t>통신</t>
        </is>
      </c>
      <c r="C20" t="n">
        <v>20000</v>
      </c>
      <c r="D20" t="inlineStr"/>
    </row>
    <row r="21">
      <c r="A21" t="inlineStr">
        <is>
          <t>여친</t>
        </is>
      </c>
      <c r="B21" t="inlineStr">
        <is>
          <t>건강보험</t>
        </is>
      </c>
      <c r="C21" t="n">
        <v>105371</v>
      </c>
      <c r="D21" t="inlineStr">
        <is>
          <t>8월~</t>
        </is>
      </c>
    </row>
    <row r="22">
      <c r="A22" t="inlineStr">
        <is>
          <t>여친</t>
        </is>
      </c>
      <c r="B22" t="inlineStr">
        <is>
          <t>교통</t>
        </is>
      </c>
      <c r="C22" t="n">
        <v>77000</v>
      </c>
      <c r="D22" t="inlineStr">
        <is>
          <t>월화수토일·정가</t>
        </is>
      </c>
    </row>
    <row r="23">
      <c r="B23" t="inlineStr">
        <is>
          <t>합계</t>
        </is>
      </c>
      <c r="C23" t="n">
        <v>527371</v>
      </c>
      <c r="D23" t="inlineStr">
        <is>
          <t>본인고정 252,371 · 동거분담→KB 공동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2026년 7월 — 수습 세후 ~216만 (6월 근무분·5/18 입사)</t>
        </is>
      </c>
    </row>
    <row r="2">
      <c r="A2" t="inlineStr">
        <is>
          <t>여친 소득 8월 입금(7/1~ 근무) · 익월 급여 (전월 근무분)</t>
        </is>
      </c>
    </row>
    <row r="4">
      <c r="A4" s="2" t="inlineStr">
        <is>
          <t>구분</t>
        </is>
      </c>
      <c r="B4" s="2" t="inlineStr">
        <is>
          <t>항목</t>
        </is>
      </c>
      <c r="C4" s="2" t="inlineStr">
        <is>
          <t>월(원)</t>
        </is>
      </c>
      <c r="D4" s="2" t="inlineStr">
        <is>
          <t>메모</t>
        </is>
      </c>
    </row>
    <row r="5">
      <c r="A5" t="inlineStr">
        <is>
          <t>수입</t>
        </is>
      </c>
      <c r="B5" t="inlineStr">
        <is>
          <t>현철 세후 (수습 90%)</t>
        </is>
      </c>
      <c r="C5" t="n">
        <v>2160857</v>
      </c>
      <c r="D5" t="inlineStr">
        <is>
          <t>정규 ~240만은 10월~</t>
        </is>
      </c>
    </row>
    <row r="6">
      <c r="A6" t="inlineStr">
        <is>
          <t>수입</t>
        </is>
      </c>
      <c r="B6" t="inlineStr">
        <is>
          <t>여친</t>
        </is>
      </c>
      <c r="C6" t="n">
        <v>0</v>
      </c>
      <c r="D6" t="inlineStr">
        <is>
          <t>첫 급여 2026-08</t>
        </is>
      </c>
    </row>
    <row r="7">
      <c r="A7" t="inlineStr">
        <is>
          <t>고정비</t>
        </is>
      </c>
      <c r="B7" t="inlineStr">
        <is>
          <t>가구 (건보 제외·여친 전화·교통 포함)</t>
        </is>
      </c>
      <c r="C7" t="n">
        <v>1408080</v>
      </c>
      <c r="D7" t="inlineStr">
        <is>
          <t>소득은 8월~</t>
        </is>
      </c>
    </row>
    <row r="8">
      <c r="A8" t="inlineStr">
        <is>
          <t>식비</t>
        </is>
      </c>
      <c r="B8" t="inlineStr">
        <is>
          <t>장보기 (축소)</t>
        </is>
      </c>
      <c r="C8" t="n">
        <v>550000</v>
      </c>
      <c r="D8" t="inlineStr">
        <is>
          <t>KB 공동</t>
        </is>
      </c>
    </row>
    <row r="9">
      <c r="A9" t="inlineStr">
        <is>
          <t>용돈</t>
        </is>
      </c>
      <c r="B9" t="inlineStr">
        <is>
          <t>현철</t>
        </is>
      </c>
      <c r="C9" t="n">
        <v>100000</v>
      </c>
      <c r="D9" t="inlineStr">
        <is>
          <t>15→10만</t>
        </is>
      </c>
    </row>
    <row r="10">
      <c r="A10" t="inlineStr">
        <is>
          <t>용돈</t>
        </is>
      </c>
      <c r="B10" t="inlineStr">
        <is>
          <t>여친</t>
        </is>
      </c>
      <c r="C10" t="n">
        <v>0</v>
      </c>
      <c r="D10" t="inlineStr">
        <is>
          <t>0</t>
        </is>
      </c>
    </row>
    <row r="11">
      <c r="A11" t="inlineStr">
        <is>
          <t>저축</t>
        </is>
      </c>
      <c r="B11" t="inlineStr">
        <is>
          <t>ISA·연금</t>
        </is>
      </c>
      <c r="C11" t="n">
        <v>0</v>
      </c>
      <c r="D11" t="inlineStr">
        <is>
          <t>8월부터 재개</t>
        </is>
      </c>
    </row>
    <row r="12">
      <c r="A12" t="inlineStr">
        <is>
          <t>잔액</t>
        </is>
      </c>
      <c r="B12" t="inlineStr">
        <is>
          <t>삼성 CMA</t>
        </is>
      </c>
      <c r="C12" t="n">
        <v>102777</v>
      </c>
      <c r="D12" t="inlineStr">
        <is>
          <t>집마련·비상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</cols>
  <sheetData>
    <row r="1">
      <c r="A1" s="1" t="inlineStr">
        <is>
          <t>2026 급여 입금·자산 배분 (2026-05-18 입사 · 수습 90%)</t>
        </is>
      </c>
    </row>
    <row r="2">
      <c r="A2" t="inlineStr">
        <is>
          <t>익월 급여 (전월 근무분)</t>
        </is>
      </c>
    </row>
    <row r="4">
      <c r="A4" s="2" t="inlineStr">
        <is>
          <t>입금월</t>
        </is>
      </c>
      <c r="B4" s="2" t="inlineStr">
        <is>
          <t>근무월</t>
        </is>
      </c>
      <c r="C4" s="2" t="inlineStr">
        <is>
          <t>현철</t>
        </is>
      </c>
      <c r="D4" s="2" t="inlineStr">
        <is>
          <t>여친</t>
        </is>
      </c>
      <c r="E4" s="2" t="inlineStr">
        <is>
          <t>합계</t>
        </is>
      </c>
      <c r="F4" s="2" t="inlineStr">
        <is>
          <t>저축</t>
        </is>
      </c>
      <c r="G4" s="2" t="inlineStr">
        <is>
          <t>집마련</t>
        </is>
      </c>
      <c r="H4" s="2" t="inlineStr">
        <is>
          <t>비고</t>
        </is>
      </c>
    </row>
    <row r="5">
      <c r="A5" t="inlineStr">
        <is>
          <t>2026-06</t>
        </is>
      </c>
      <c r="B5" t="inlineStr">
        <is>
          <t>2026-05</t>
        </is>
      </c>
      <c r="C5" t="n">
        <v>1008399</v>
      </c>
      <c r="D5" t="n">
        <v>0</v>
      </c>
      <c r="E5" t="n">
        <v>1008399</v>
      </c>
      <c r="F5" t="n">
        <v>700000</v>
      </c>
      <c r="G5" t="n">
        <v>0</v>
      </c>
      <c r="H5" t="inlineStr">
        <is>
          <t>5/18 입사·일할</t>
        </is>
      </c>
    </row>
    <row r="6">
      <c r="A6" t="inlineStr">
        <is>
          <t>2026-07</t>
        </is>
      </c>
      <c r="B6" t="inlineStr">
        <is>
          <t>2026-06</t>
        </is>
      </c>
      <c r="C6" t="n">
        <v>2160857</v>
      </c>
      <c r="D6" t="n">
        <v>0</v>
      </c>
      <c r="E6" t="n">
        <v>2160857</v>
      </c>
      <c r="F6" t="n">
        <v>102777</v>
      </c>
      <c r="G6" t="n">
        <v>0</v>
      </c>
      <c r="H6" t="inlineStr">
        <is>
          <t>수습 90%</t>
        </is>
      </c>
    </row>
    <row r="7">
      <c r="A7" t="inlineStr">
        <is>
          <t>2026-08</t>
        </is>
      </c>
      <c r="B7" t="inlineStr">
        <is>
          <t>2026-07</t>
        </is>
      </c>
      <c r="C7" t="n">
        <v>2160857</v>
      </c>
      <c r="D7" t="n">
        <v>2297580</v>
      </c>
      <c r="E7" t="n">
        <v>4458437</v>
      </c>
      <c r="F7" t="n">
        <v>1983709</v>
      </c>
      <c r="G7" t="n">
        <v>1233709</v>
      </c>
      <c r="H7" t="inlineStr">
        <is>
          <t>수습 90% · 여친 첫 급여(2026-08)</t>
        </is>
      </c>
    </row>
    <row r="8">
      <c r="A8" t="inlineStr">
        <is>
          <t>2026-09</t>
        </is>
      </c>
      <c r="B8" t="inlineStr">
        <is>
          <t>2026-08</t>
        </is>
      </c>
      <c r="C8" t="n">
        <v>2344929</v>
      </c>
      <c r="D8" t="n">
        <v>2612933</v>
      </c>
      <c r="E8" t="n">
        <v>4957862</v>
      </c>
      <c r="F8" t="n">
        <v>2444411</v>
      </c>
      <c r="G8" t="n">
        <v>1694411</v>
      </c>
      <c r="H8" t="inlineStr">
        <is>
          <t>수습→정규 전환</t>
        </is>
      </c>
    </row>
    <row r="9">
      <c r="A9" t="inlineStr">
        <is>
          <t>2026-10</t>
        </is>
      </c>
      <c r="B9" t="inlineStr">
        <is>
          <t>2026-09</t>
        </is>
      </c>
      <c r="C9" t="n">
        <v>2400952</v>
      </c>
      <c r="D9" t="n">
        <v>2387681</v>
      </c>
      <c r="E9" t="n">
        <v>4788633</v>
      </c>
      <c r="F9" t="n">
        <v>2275182</v>
      </c>
      <c r="G9" t="n">
        <v>1525182</v>
      </c>
      <c r="H9" t="inlineStr">
        <is>
          <t>정규 연봉</t>
        </is>
      </c>
    </row>
    <row r="10">
      <c r="A10" t="inlineStr">
        <is>
          <t>2026-11</t>
        </is>
      </c>
      <c r="B10" t="inlineStr">
        <is>
          <t>2026-10</t>
        </is>
      </c>
      <c r="C10" t="n">
        <v>2400952</v>
      </c>
      <c r="D10" t="n">
        <v>2297580</v>
      </c>
      <c r="E10" t="n">
        <v>4698532</v>
      </c>
      <c r="F10" t="n">
        <v>2185081</v>
      </c>
      <c r="G10" t="n">
        <v>1435081</v>
      </c>
      <c r="H10" t="inlineStr">
        <is>
          <t>정규 연봉</t>
        </is>
      </c>
    </row>
    <row r="11">
      <c r="A11" t="inlineStr">
        <is>
          <t>2026-12</t>
        </is>
      </c>
      <c r="B11" t="inlineStr">
        <is>
          <t>2026-11</t>
        </is>
      </c>
      <c r="C11" t="n">
        <v>2400952</v>
      </c>
      <c r="D11" t="n">
        <v>2522833</v>
      </c>
      <c r="E11" t="n">
        <v>4923785</v>
      </c>
      <c r="F11" t="n">
        <v>2410334</v>
      </c>
      <c r="G11" t="n">
        <v>1660334</v>
      </c>
      <c r="H11" t="inlineStr">
        <is>
          <t>정규 연봉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물리 통장 7개 · 역할 슬롯 10개</t>
        </is>
      </c>
    </row>
    <row r="2">
      <c r="A2" t="inlineStr">
        <is>
          <t>청약 6,400,000원 · 신규 개설 2건</t>
        </is>
      </c>
    </row>
    <row r="4">
      <c r="A4" s="2" t="inlineStr">
        <is>
          <t>명의</t>
        </is>
      </c>
      <c r="B4" s="2" t="inlineStr">
        <is>
          <t>금융사</t>
        </is>
      </c>
      <c r="C4" s="2" t="inlineStr">
        <is>
          <t>담당 역할</t>
        </is>
      </c>
    </row>
    <row r="5">
      <c r="A5" t="inlineStr">
        <is>
          <t>공동</t>
        </is>
      </c>
      <c r="B5" t="inlineStr">
        <is>
          <t>KB 공동</t>
        </is>
      </c>
      <c r="C5" t="inlineStr">
        <is>
          <t>월세·전기·장보기 · ★신규 개설</t>
        </is>
      </c>
    </row>
    <row r="6">
      <c r="A6" t="inlineStr">
        <is>
          <t>현철</t>
        </is>
      </c>
      <c r="B6" t="inlineStr">
        <is>
          <t>KB 주거래</t>
        </is>
      </c>
      <c r="C6" t="inlineStr">
        <is>
          <t>급여·개인고정비·저축이체</t>
        </is>
      </c>
    </row>
    <row r="7">
      <c r="A7" t="inlineStr">
        <is>
          <t>현철</t>
        </is>
      </c>
      <c r="B7" t="inlineStr">
        <is>
          <t>토스</t>
        </is>
      </c>
      <c r="C7" t="inlineStr">
        <is>
          <t>용돈</t>
        </is>
      </c>
    </row>
    <row r="8">
      <c r="A8" t="inlineStr">
        <is>
          <t>현철</t>
        </is>
      </c>
      <c r="B8" t="inlineStr">
        <is>
          <t>삼성증권</t>
        </is>
      </c>
      <c r="C8" t="inlineStr">
        <is>
          <t>CMA(집) · ISA · 연금 · IRP</t>
        </is>
      </c>
    </row>
    <row r="9">
      <c r="A9" t="inlineStr">
        <is>
          <t>현철</t>
        </is>
      </c>
      <c r="B9" t="inlineStr">
        <is>
          <t>기존 청약</t>
        </is>
      </c>
      <c r="C9" t="inlineStr">
        <is>
          <t>청약 2만/월</t>
        </is>
      </c>
    </row>
    <row r="10">
      <c r="A10" t="inlineStr">
        <is>
          <t>여친</t>
        </is>
      </c>
      <c r="B10" t="inlineStr">
        <is>
          <t>알바 급여 은행</t>
        </is>
      </c>
      <c r="C10" t="inlineStr">
        <is>
          <t>급여·본인고정비·동거분담→공동</t>
        </is>
      </c>
    </row>
    <row r="11">
      <c r="A11" t="inlineStr">
        <is>
          <t>여친</t>
        </is>
      </c>
      <c r="B11" t="inlineStr">
        <is>
          <t>토스</t>
        </is>
      </c>
      <c r="C11" t="inlineStr">
        <is>
          <t>용돈 10만</t>
        </is>
      </c>
    </row>
    <row r="12">
      <c r="A12" t="inlineStr">
        <is>
          <t>여친</t>
        </is>
      </c>
      <c r="B12" t="inlineStr">
        <is>
          <t>토스뱅크</t>
        </is>
      </c>
      <c r="C12" t="inlineStr">
        <is>
          <t>파킹(집+비자) · ★신규 개설</t>
        </is>
      </c>
    </row>
    <row r="14">
      <c r="A14" t="inlineStr">
        <is>
          <t>★ 신규 개설</t>
        </is>
      </c>
    </row>
    <row r="15">
      <c r="A15" s="2" t="inlineStr">
        <is>
          <t>명의</t>
        </is>
      </c>
      <c r="B15" s="2" t="inlineStr">
        <is>
          <t>금융사</t>
        </is>
      </c>
      <c r="C15" s="2" t="inlineStr">
        <is>
          <t>용도</t>
        </is>
      </c>
      <c r="D15" s="2" t="inlineStr">
        <is>
          <t>메모</t>
        </is>
      </c>
    </row>
    <row r="16">
      <c r="A16" t="inlineStr">
        <is>
          <t>공동</t>
        </is>
      </c>
      <c r="B16" t="inlineStr">
        <is>
          <t>KB 공동</t>
        </is>
      </c>
      <c r="C16" t="inlineStr">
        <is>
          <t>월세·전기·장보기 · 동거분담금 입금</t>
        </is>
      </c>
      <c r="D16" t="inlineStr">
        <is>
          <t>공동명의(또는 연동) · 개설 시 둘 다 방문 · 월 지출 ~140만</t>
        </is>
      </c>
    </row>
    <row r="17">
      <c r="A17" t="inlineStr">
        <is>
          <t>여친</t>
        </is>
      </c>
      <c r="B17" t="inlineStr">
        <is>
          <t>토스뱅크</t>
        </is>
      </c>
      <c r="C17" t="inlineStr">
        <is>
          <t>파킹 통장 · 집마련+비자 자동이체 (~132만/월)</t>
        </is>
      </c>
      <c r="D17" t="inlineStr">
        <is>
          <t>ARC·본인 명의 휴대폰 · 개설 후 한도 해제</t>
        </is>
      </c>
    </row>
    <row r="19">
      <c r="A19" t="inlineStr">
        <is>
          <t>월 이체 상세</t>
        </is>
      </c>
      <c r="C19" t="inlineStr">
        <is>
          <t>아래 슬롯별 금액</t>
        </is>
      </c>
    </row>
    <row r="20">
      <c r="A20" s="2" t="inlineStr">
        <is>
          <t>ID</t>
        </is>
      </c>
      <c r="B20" s="2" t="inlineStr">
        <is>
          <t>역할</t>
        </is>
      </c>
      <c r="C20" s="2" t="inlineStr">
        <is>
          <t>명의</t>
        </is>
      </c>
      <c r="D20" s="2" t="inlineStr">
        <is>
          <t>금융사</t>
        </is>
      </c>
      <c r="E20" s="2" t="inlineStr">
        <is>
          <t>월 입금</t>
        </is>
      </c>
      <c r="F20" s="2" t="inlineStr">
        <is>
          <t>용도</t>
        </is>
      </c>
    </row>
    <row r="21">
      <c r="A21" t="inlineStr">
        <is>
          <t>가계공동</t>
        </is>
      </c>
      <c r="B21" t="inlineStr">
        <is>
          <t>동거·공동</t>
        </is>
      </c>
      <c r="C21" t="inlineStr">
        <is>
          <t>공동</t>
        </is>
      </c>
      <c r="D21" t="inlineStr">
        <is>
          <t>KB 공동</t>
        </is>
      </c>
      <c r="E21" t="n">
        <v>1400000</v>
      </c>
      <c r="F21" t="inlineStr">
        <is>
          <t>월세·전기·장보기 결제 · 상시 1,400,000원 (현철 708,250 + 여친 691,750)</t>
        </is>
      </c>
    </row>
    <row r="22">
      <c r="A22" t="inlineStr">
        <is>
          <t>P1-급여</t>
        </is>
      </c>
      <c r="B22" t="inlineStr">
        <is>
          <t>급여·개인고정비</t>
        </is>
      </c>
      <c r="C22" t="inlineStr">
        <is>
          <t>현철</t>
        </is>
      </c>
      <c r="D22" t="inlineStr">
        <is>
          <t>KB 주거래</t>
        </is>
      </c>
      <c r="E22" t="n">
        <v>2400952</v>
      </c>
      <c r="F22" t="inlineStr">
        <is>
          <t>급여 → 공동 708,250 · 저축 이체 · 개인고정 상시 661,080원</t>
        </is>
      </c>
    </row>
    <row r="23">
      <c r="A23" t="inlineStr">
        <is>
          <t>P1-집마련</t>
        </is>
      </c>
      <c r="B23" t="inlineStr">
        <is>
          <t>집마련</t>
        </is>
      </c>
      <c r="C23" t="inlineStr">
        <is>
          <t>현철</t>
        </is>
      </c>
      <c r="D23" t="inlineStr">
        <is>
          <t>삼성증권 CMA</t>
        </is>
      </c>
      <c r="E23" t="n">
        <v>181622</v>
      </c>
      <c r="F23" t="inlineStr">
        <is>
          <t>CMA RP·MMF · 7월 버퍼도 여기</t>
        </is>
      </c>
    </row>
    <row r="24">
      <c r="A24" t="inlineStr">
        <is>
          <t>P1-용돈</t>
        </is>
      </c>
      <c r="B24" t="inlineStr">
        <is>
          <t>용돈</t>
        </is>
      </c>
      <c r="C24" t="inlineStr">
        <is>
          <t>현철</t>
        </is>
      </c>
      <c r="D24" t="inlineStr">
        <is>
          <t>토스</t>
        </is>
      </c>
      <c r="E24" t="n">
        <v>150000</v>
      </c>
      <c r="F24" t="inlineStr">
        <is>
          <t>개인 소비만</t>
        </is>
      </c>
    </row>
    <row r="25">
      <c r="A25" t="inlineStr">
        <is>
          <t>P1-ISA</t>
        </is>
      </c>
      <c r="B25" t="inlineStr">
        <is>
          <t>저축</t>
        </is>
      </c>
      <c r="C25" t="inlineStr">
        <is>
          <t>현철</t>
        </is>
      </c>
      <c r="D25" t="inlineStr">
        <is>
          <t>삼성증권 ISA</t>
        </is>
      </c>
      <c r="E25" t="n">
        <v>500000</v>
      </c>
      <c r="F25" t="inlineStr">
        <is>
          <t>집값 2순위·2029 계약금</t>
        </is>
      </c>
    </row>
    <row r="26">
      <c r="A26" t="inlineStr">
        <is>
          <t>P1-연금</t>
        </is>
      </c>
      <c r="B26" t="inlineStr">
        <is>
          <t>저축</t>
        </is>
      </c>
      <c r="C26" t="inlineStr">
        <is>
          <t>현철</t>
        </is>
      </c>
      <c r="D26" t="inlineStr">
        <is>
          <t>삼성증권 연금</t>
        </is>
      </c>
      <c r="E26" t="n">
        <v>200000</v>
      </c>
      <c r="F26" t="inlineStr">
        <is>
          <t>세액공제만·집값 X</t>
        </is>
      </c>
    </row>
    <row r="27">
      <c r="A27" t="inlineStr">
        <is>
          <t>P1-청약</t>
        </is>
      </c>
      <c r="B27" t="inlineStr">
        <is>
          <t>저축</t>
        </is>
      </c>
      <c r="C27" t="inlineStr">
        <is>
          <t>현철</t>
        </is>
      </c>
      <c r="D27" t="inlineStr">
        <is>
          <t>기존 청약</t>
        </is>
      </c>
      <c r="E27" t="n">
        <v>20000</v>
      </c>
      <c r="F27" t="inlineStr">
        <is>
          <t>청약 6,400,000원 유지</t>
        </is>
      </c>
    </row>
    <row r="28">
      <c r="A28" t="inlineStr">
        <is>
          <t>P2-급여·본인고정비</t>
        </is>
      </c>
      <c r="B28" t="inlineStr">
        <is>
          <t>급여·본인고정비</t>
        </is>
      </c>
      <c r="C28" t="inlineStr">
        <is>
          <t>여친</t>
        </is>
      </c>
      <c r="D28" t="inlineStr">
        <is>
          <t>알바 급여 은행</t>
        </is>
      </c>
      <c r="E28" t="n">
        <v>2297580</v>
      </c>
      <c r="F28" t="inlineStr">
        <is>
          <t>급여+건보·교통·통신 · 동거분담 691,750원→가계공동 · 상시 252,371원</t>
        </is>
      </c>
    </row>
    <row r="29">
      <c r="A29" t="inlineStr">
        <is>
          <t>P2-토스파킹</t>
        </is>
      </c>
      <c r="B29" t="inlineStr">
        <is>
          <t>집마련·비자</t>
        </is>
      </c>
      <c r="C29" t="inlineStr">
        <is>
          <t>여친</t>
        </is>
      </c>
      <c r="D29" t="inlineStr">
        <is>
          <t>토스뱅크</t>
        </is>
      </c>
      <c r="E29" t="n">
        <v>1303459</v>
      </c>
      <c r="F29" t="inlineStr">
        <is>
          <t>파킹 집마련 1,253,459 + 비자 50,000 · 2031 입주 후 집마련 중단</t>
        </is>
      </c>
    </row>
    <row r="30">
      <c r="A30" t="inlineStr">
        <is>
          <t>P2-용돈</t>
        </is>
      </c>
      <c r="B30" t="inlineStr">
        <is>
          <t>용돈</t>
        </is>
      </c>
      <c r="C30" t="inlineStr">
        <is>
          <t>여친</t>
        </is>
      </c>
      <c r="D30" t="inlineStr">
        <is>
          <t>토스</t>
        </is>
      </c>
      <c r="E30" t="n">
        <v>100000</v>
      </c>
      <c r="F30" t="inlineStr">
        <is>
          <t>용돈 전용 · 토스뱅크(파킹)와 분리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상품</t>
        </is>
      </c>
      <c r="B1" s="2" t="inlineStr">
        <is>
          <t>집값 사용</t>
        </is>
      </c>
      <c r="C1" s="2" t="inlineStr">
        <is>
          <t>조건</t>
        </is>
      </c>
      <c r="D1" s="2" t="inlineStr">
        <is>
          <t>비고</t>
        </is>
      </c>
    </row>
    <row r="2">
      <c r="A2" t="inlineStr">
        <is>
          <t>집마련 CMA·파킹</t>
        </is>
      </c>
      <c r="B2" t="inlineStr">
        <is>
          <t>✅ 1순위</t>
        </is>
      </c>
      <c r="C2" t="inlineStr">
        <is>
          <t>자유·T+0~1</t>
        </is>
      </c>
      <c r="D2" t="inlineStr">
        <is>
          <t>삼성CMA(현철)+토스파킹(여친·비자5만 포함)·보통예금 대신</t>
        </is>
      </c>
    </row>
    <row r="3">
      <c r="A3" t="inlineStr">
        <is>
          <t>ISA 서민형</t>
        </is>
      </c>
      <c r="B3" t="inlineStr">
        <is>
          <t>✅ 2순위</t>
        </is>
      </c>
      <c r="C3" t="inlineStr">
        <is>
          <t>만기 전 원금 인출</t>
        </is>
      </c>
      <c r="D3" t="inlineStr">
        <is>
          <t>2029 계약금·이자비과세</t>
        </is>
      </c>
    </row>
    <row r="4">
      <c r="A4" t="inlineStr">
        <is>
          <t>가계 공동계좌</t>
        </is>
      </c>
      <c r="B4" t="inlineStr">
        <is>
          <t>△</t>
        </is>
      </c>
      <c r="C4" t="inlineStr">
        <is>
          <t>비상 시만</t>
        </is>
      </c>
      <c r="D4" t="inlineStr">
        <is>
          <t>KB 공동 · 월세·식비 버퍼 깨지 않게 최후</t>
        </is>
      </c>
    </row>
    <row r="5">
      <c r="A5" t="inlineStr">
        <is>
          <t>KB 주거래(개인)</t>
        </is>
      </c>
      <c r="B5" t="inlineStr">
        <is>
          <t>△</t>
        </is>
      </c>
      <c r="C5" t="inlineStr">
        <is>
          <t>비상 시만</t>
        </is>
      </c>
      <c r="D5" t="inlineStr">
        <is>
          <t>개인 고정비·저축 이체용 · 공동비 섞지 않기</t>
        </is>
      </c>
    </row>
    <row r="6">
      <c r="A6" t="inlineStr">
        <is>
          <t>주택청약 640만</t>
        </is>
      </c>
      <c r="B6" t="inlineStr">
        <is>
          <t>⚠️ 비권장</t>
        </is>
      </c>
      <c r="C6" t="inlineStr">
        <is>
          <t>인출 가능하나</t>
        </is>
      </c>
      <c r="D6" t="inlineStr">
        <is>
          <t>순위·특공 불리</t>
        </is>
      </c>
    </row>
    <row r="7">
      <c r="A7" t="inlineStr">
        <is>
          <t>연금저축</t>
        </is>
      </c>
      <c r="B7" t="inlineStr">
        <is>
          <t>△ 최후</t>
        </is>
      </c>
      <c r="C7" t="inlineStr">
        <is>
          <t>부분 인출</t>
        </is>
      </c>
      <c r="D7" t="inlineStr">
        <is>
          <t>16.5% + 세액공제 환수</t>
        </is>
      </c>
    </row>
    <row r="8">
      <c r="A8" t="inlineStr">
        <is>
          <t>IRP</t>
        </is>
      </c>
      <c r="B8" t="inlineStr">
        <is>
          <t>△</t>
        </is>
      </c>
      <c r="C8" t="inlineStr">
        <is>
          <t>주택구입 사유</t>
        </is>
      </c>
      <c r="D8" t="inlineStr">
        <is>
          <t>삼성증권 보유·월 납입 플랜 외</t>
        </is>
      </c>
    </row>
    <row r="9">
      <c r="A9" t="inlineStr">
        <is>
          <t>~~보통 집마련 통장~~</t>
        </is>
      </c>
      <c r="B9" t="inlineStr">
        <is>
          <t>❌</t>
        </is>
      </c>
      <c r="C9" t="inlineStr">
        <is>
          <t>이자 낮음</t>
        </is>
      </c>
      <c r="D9" t="inlineStr">
        <is>
          <t>사용 안 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2026년 10월~ — 급여일+1 자동이체 (세후 ~470만·정규)</t>
        </is>
      </c>
    </row>
    <row r="2">
      <c r="A2" t="inlineStr">
        <is>
          <t>8~9월은 수습·전환 → 「2026급여배분」 시트 참고</t>
        </is>
      </c>
    </row>
    <row r="4">
      <c r="A4" s="2" t="inlineStr">
        <is>
          <t>순서</t>
        </is>
      </c>
      <c r="B4" s="2" t="inlineStr">
        <is>
          <t>항목</t>
        </is>
      </c>
      <c r="C4" s="2" t="inlineStr">
        <is>
          <t>현철</t>
        </is>
      </c>
      <c r="D4" s="2" t="inlineStr">
        <is>
          <t>여친</t>
        </is>
      </c>
      <c r="E4" s="2" t="inlineStr">
        <is>
          <t>목적 계좌</t>
        </is>
      </c>
    </row>
    <row r="5">
      <c r="A5" t="n">
        <v>1</v>
      </c>
      <c r="B5" t="inlineStr">
        <is>
          <t>동거 공동계좌</t>
        </is>
      </c>
      <c r="C5" t="n">
        <v>708250</v>
      </c>
      <c r="D5" t="n">
        <v>691750</v>
      </c>
      <c r="E5" t="inlineStr">
        <is>
          <t>P1/P2→가계공동 (KB 공동) · 상시 1,400,000원</t>
        </is>
      </c>
    </row>
    <row r="6">
      <c r="A6" t="n">
        <v>2</v>
      </c>
      <c r="B6" t="inlineStr">
        <is>
          <t>용돈</t>
        </is>
      </c>
      <c r="C6" t="n">
        <v>150000</v>
      </c>
      <c r="D6" t="n">
        <v>100000</v>
      </c>
      <c r="E6" t="inlineStr">
        <is>
          <t>토스 / 토스</t>
        </is>
      </c>
    </row>
    <row r="7">
      <c r="A7" t="n">
        <v>3</v>
      </c>
      <c r="B7" t="inlineStr">
        <is>
          <t>ISA</t>
        </is>
      </c>
      <c r="C7" t="n">
        <v>500000</v>
      </c>
      <c r="D7" t="n">
        <v>0</v>
      </c>
      <c r="E7" t="inlineStr">
        <is>
          <t>삼성증권 ISA</t>
        </is>
      </c>
    </row>
    <row r="8">
      <c r="A8" t="n">
        <v>4</v>
      </c>
      <c r="B8" t="inlineStr">
        <is>
          <t>연금저축</t>
        </is>
      </c>
      <c r="C8" t="n">
        <v>200000</v>
      </c>
      <c r="D8" t="n">
        <v>0</v>
      </c>
      <c r="E8" t="inlineStr">
        <is>
          <t>삼성증권 연금</t>
        </is>
      </c>
    </row>
    <row r="9">
      <c r="A9" t="n">
        <v>5</v>
      </c>
      <c r="B9" t="inlineStr">
        <is>
          <t>합계</t>
        </is>
      </c>
      <c r="C9" t="n">
        <v>2400952</v>
      </c>
      <c r="D9" t="n">
        <v>2297580</v>
      </c>
      <c r="E9" t="inlineStr">
        <is>
          <t>삼성증권 CMA / 토스뱅크 (집 1,253,459+비자 50,000)</t>
        </is>
      </c>
    </row>
    <row r="10">
      <c r="B10" t="inlineStr">
        <is>
          <t>가구 합계</t>
        </is>
      </c>
      <c r="C10" t="n">
        <v>4698532</v>
      </c>
    </row>
    <row r="11">
      <c r="B11" t="inlineStr">
        <is>
          <t>월 저축 합계</t>
        </is>
      </c>
      <c r="C11" t="n">
        <v>2185081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구분</t>
        </is>
      </c>
      <c r="B1" s="2" t="inlineStr">
        <is>
          <t>항목</t>
        </is>
      </c>
      <c r="C1" s="2" t="inlineStr">
        <is>
          <t>월(원)</t>
        </is>
      </c>
      <c r="D1" s="2" t="inlineStr">
        <is>
          <t>담당</t>
        </is>
      </c>
      <c r="E1" s="2" t="inlineStr">
        <is>
          <t>메모</t>
        </is>
      </c>
    </row>
    <row r="2">
      <c r="A2" t="inlineStr">
        <is>
          <t>고정비</t>
        </is>
      </c>
      <c r="B2" t="inlineStr">
        <is>
          <t>월세+관리비</t>
        </is>
      </c>
      <c r="C2" t="n">
        <v>600000</v>
      </c>
      <c r="D2" t="inlineStr">
        <is>
          <t>공동</t>
        </is>
      </c>
      <c r="E2" t="inlineStr">
        <is>
          <t>→ 고정비 시트</t>
        </is>
      </c>
    </row>
    <row r="3">
      <c r="A3" t="inlineStr">
        <is>
          <t>고정비</t>
        </is>
      </c>
      <c r="B3" t="inlineStr">
        <is>
          <t>전기</t>
        </is>
      </c>
      <c r="C3" t="n">
        <v>50000</v>
      </c>
      <c r="D3" t="inlineStr">
        <is>
          <t>공동</t>
        </is>
      </c>
      <c r="E3" t="inlineStr"/>
    </row>
    <row r="4">
      <c r="A4" t="inlineStr">
        <is>
          <t>고정비</t>
        </is>
      </c>
      <c r="B4" t="inlineStr">
        <is>
          <t>KT+SKT</t>
        </is>
      </c>
      <c r="C4" t="n">
        <v>36890</v>
      </c>
      <c r="D4" t="inlineStr">
        <is>
          <t>현철</t>
        </is>
      </c>
      <c r="E4" t="inlineStr"/>
    </row>
    <row r="5">
      <c r="A5" t="inlineStr">
        <is>
          <t>고정비</t>
        </is>
      </c>
      <c r="B5" t="inlineStr">
        <is>
          <t>통신(여친)</t>
        </is>
      </c>
      <c r="C5" t="n">
        <v>20000</v>
      </c>
      <c r="D5" t="inlineStr">
        <is>
          <t>여친</t>
        </is>
      </c>
      <c r="E5" t="inlineStr"/>
    </row>
    <row r="6">
      <c r="A6" t="inlineStr">
        <is>
          <t>고정비</t>
        </is>
      </c>
      <c r="B6" t="inlineStr">
        <is>
          <t>교통-현철</t>
        </is>
      </c>
      <c r="C6" t="n">
        <v>215600</v>
      </c>
      <c r="D6" t="inlineStr">
        <is>
          <t>현철</t>
        </is>
      </c>
      <c r="E6" t="inlineStr">
        <is>
          <t>K-패스</t>
        </is>
      </c>
    </row>
    <row r="7">
      <c r="A7" t="inlineStr">
        <is>
          <t>고정비</t>
        </is>
      </c>
      <c r="B7" t="inlineStr">
        <is>
          <t>교통-여친</t>
        </is>
      </c>
      <c r="C7" t="n">
        <v>77000</v>
      </c>
      <c r="D7" t="inlineStr">
        <is>
          <t>여친</t>
        </is>
      </c>
      <c r="E7" t="inlineStr">
        <is>
          <t>K-패스</t>
        </is>
      </c>
    </row>
    <row r="8">
      <c r="A8" t="inlineStr">
        <is>
          <t>고정비</t>
        </is>
      </c>
      <c r="B8" t="inlineStr">
        <is>
          <t>보험</t>
        </is>
      </c>
      <c r="C8" t="n">
        <v>138290</v>
      </c>
      <c r="D8" t="inlineStr">
        <is>
          <t>현철</t>
        </is>
      </c>
      <c r="E8" t="inlineStr">
        <is>
          <t>138,290</t>
        </is>
      </c>
    </row>
    <row r="9">
      <c r="A9" t="inlineStr">
        <is>
          <t>고정비</t>
        </is>
      </c>
      <c r="B9" t="inlineStr">
        <is>
          <t>구독</t>
        </is>
      </c>
      <c r="C9" t="n">
        <v>170580</v>
      </c>
      <c r="D9" t="inlineStr">
        <is>
          <t>현철</t>
        </is>
      </c>
      <c r="E9" t="inlineStr"/>
    </row>
    <row r="10">
      <c r="A10" t="inlineStr">
        <is>
          <t>고정비</t>
        </is>
      </c>
      <c r="B10" t="inlineStr">
        <is>
          <t>장학금 이자</t>
        </is>
      </c>
      <c r="C10" t="n">
        <v>7500</v>
      </c>
      <c r="D10" t="inlineStr">
        <is>
          <t>현철</t>
        </is>
      </c>
      <c r="E10" t="inlineStr"/>
    </row>
    <row r="11">
      <c r="A11" t="inlineStr">
        <is>
          <t>고정비</t>
        </is>
      </c>
      <c r="B11" t="inlineStr">
        <is>
          <t>카카오 긴급</t>
        </is>
      </c>
      <c r="C11" t="n">
        <v>92220</v>
      </c>
      <c r="D11" t="inlineStr">
        <is>
          <t>현철</t>
        </is>
      </c>
      <c r="E11" t="inlineStr"/>
    </row>
    <row r="12">
      <c r="A12" t="inlineStr">
        <is>
          <t>고정비</t>
        </is>
      </c>
      <c r="B12" t="inlineStr">
        <is>
          <t>건강보험(여친)</t>
        </is>
      </c>
      <c r="C12" t="n">
        <v>105371</v>
      </c>
      <c r="D12" t="inlineStr">
        <is>
          <t>여친</t>
        </is>
      </c>
      <c r="E12" t="inlineStr"/>
    </row>
    <row r="13">
      <c r="A13" t="inlineStr">
        <is>
          <t>식비</t>
        </is>
      </c>
      <c r="B13" t="inlineStr">
        <is>
          <t>주간 장보기</t>
        </is>
      </c>
      <c r="C13" t="n">
        <v>750000</v>
      </c>
      <c r="D13" t="inlineStr">
        <is>
          <t>KB 공동</t>
        </is>
      </c>
      <c r="E13" t="inlineStr">
        <is>
          <t>공동계좌에서 결제</t>
        </is>
      </c>
    </row>
    <row r="14">
      <c r="A14" t="inlineStr">
        <is>
          <t>용돈</t>
        </is>
      </c>
      <c r="B14" t="inlineStr">
        <is>
          <t>개인 용돈</t>
        </is>
      </c>
      <c r="C14" t="n">
        <v>150000</v>
      </c>
      <c r="D14" t="inlineStr">
        <is>
          <t>현철</t>
        </is>
      </c>
      <c r="E14" t="inlineStr">
        <is>
          <t>취미·의류 등</t>
        </is>
      </c>
    </row>
    <row r="15">
      <c r="A15" t="inlineStr">
        <is>
          <t>용돈</t>
        </is>
      </c>
      <c r="B15" t="inlineStr">
        <is>
          <t>개인 용돈</t>
        </is>
      </c>
      <c r="C15" t="n">
        <v>100000</v>
      </c>
      <c r="D15" t="inlineStr">
        <is>
          <t>여친</t>
        </is>
      </c>
      <c r="E15" t="inlineStr"/>
    </row>
    <row r="16">
      <c r="A16" t="inlineStr">
        <is>
          <t>저축</t>
        </is>
      </c>
      <c r="B16" t="inlineStr">
        <is>
          <t>ISA 서민형</t>
        </is>
      </c>
      <c r="C16" t="n">
        <v>500000</v>
      </c>
      <c r="D16" t="inlineStr">
        <is>
          <t>현철</t>
        </is>
      </c>
      <c r="E16" t="inlineStr">
        <is>
          <t>예금·MMF</t>
        </is>
      </c>
    </row>
    <row r="17">
      <c r="A17" t="inlineStr">
        <is>
          <t>저축</t>
        </is>
      </c>
      <c r="B17" t="inlineStr">
        <is>
          <t>집마련 CMA·토스파킹</t>
        </is>
      </c>
      <c r="C17" t="n">
        <v>1435081</v>
      </c>
      <c r="D17" t="inlineStr">
        <is>
          <t>각자</t>
        </is>
      </c>
      <c r="E17" t="inlineStr">
        <is>
          <t>CMA 181,622 + P2-토스파킹 1,303,459</t>
        </is>
      </c>
    </row>
    <row r="18">
      <c r="A18" t="inlineStr">
        <is>
          <t>저축</t>
        </is>
      </c>
      <c r="B18" t="inlineStr">
        <is>
          <t>연금저축</t>
        </is>
      </c>
      <c r="C18" t="n">
        <v>200000</v>
      </c>
      <c r="D18" t="inlineStr">
        <is>
          <t>현철</t>
        </is>
      </c>
      <c r="E18" t="inlineStr">
        <is>
          <t>세액공제용</t>
        </is>
      </c>
    </row>
    <row r="19">
      <c r="A19" t="inlineStr">
        <is>
          <t>저축</t>
        </is>
      </c>
      <c r="B19" t="inlineStr">
        <is>
          <t>비자 비상</t>
        </is>
      </c>
      <c r="C19" t="n">
        <v>50000</v>
      </c>
      <c r="D19" t="inlineStr">
        <is>
          <t>여친</t>
        </is>
      </c>
      <c r="E19" t="inlineStr">
        <is>
          <t>P2-토스파킹 (집마련과 동일)</t>
        </is>
      </c>
    </row>
    <row r="20">
      <c r="B20" t="inlineStr">
        <is>
          <t>합계</t>
        </is>
      </c>
      <c r="C20">
        <f>SUM(C2:C19)</f>
        <v/>
      </c>
    </row>
    <row r="21">
      <c r="B21" t="inlineStr">
        <is>
          <t>세후 수입</t>
        </is>
      </c>
      <c r="C21" t="n">
        <v>4698532</v>
      </c>
    </row>
    <row r="22">
      <c r="B22" t="inlineStr">
        <is>
          <t>잔액</t>
        </is>
      </c>
      <c r="C22">
        <f>C21-C20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계좌유형</t>
        </is>
      </c>
      <c r="B1" s="2" t="inlineStr">
        <is>
          <t>계좌명</t>
        </is>
      </c>
      <c r="C1" s="2" t="inlineStr">
        <is>
          <t>담당</t>
        </is>
      </c>
      <c r="D1" s="2" t="inlineStr">
        <is>
          <t>종목/상품</t>
        </is>
      </c>
      <c r="E1" s="2" t="inlineStr">
        <is>
          <t>월납입</t>
        </is>
      </c>
      <c r="F1" s="2" t="inlineStr">
        <is>
          <t>연한도</t>
        </is>
      </c>
      <c r="G1" s="2" t="inlineStr">
        <is>
          <t>목적</t>
        </is>
      </c>
      <c r="H1" s="2" t="inlineStr">
        <is>
          <t>비고</t>
        </is>
      </c>
    </row>
    <row r="2">
      <c r="A2" t="inlineStr">
        <is>
          <t>ISA</t>
        </is>
      </c>
      <c r="B2" t="inlineStr">
        <is>
          <t>현철-ISA</t>
        </is>
      </c>
      <c r="C2" t="inlineStr">
        <is>
          <t>현철</t>
        </is>
      </c>
      <c r="D2" t="inlineStr">
        <is>
          <t>MMF/예금</t>
        </is>
      </c>
      <c r="E2" t="n">
        <v>500000</v>
      </c>
      <c r="F2" t="n">
        <v>20000000</v>
      </c>
      <c r="G2" t="inlineStr">
        <is>
          <t>2029 계약금</t>
        </is>
      </c>
      <c r="H2" t="inlineStr">
        <is>
          <t>서민형 3년</t>
        </is>
      </c>
    </row>
    <row r="3">
      <c r="A3" t="inlineStr">
        <is>
          <t>주택청약</t>
        </is>
      </c>
      <c r="B3" t="inlineStr">
        <is>
          <t>현철-청약</t>
        </is>
      </c>
      <c r="C3" t="inlineStr">
        <is>
          <t>현철</t>
        </is>
      </c>
      <c r="D3" t="inlineStr">
        <is>
          <t>종합저축</t>
        </is>
      </c>
      <c r="E3" t="n">
        <v>20000</v>
      </c>
      <c r="G3" t="inlineStr">
        <is>
          <t>청약 순위</t>
        </is>
      </c>
      <c r="H3" t="inlineStr">
        <is>
          <t>640만 유지</t>
        </is>
      </c>
    </row>
    <row r="4">
      <c r="A4" t="inlineStr">
        <is>
          <t>연금저축</t>
        </is>
      </c>
      <c r="B4" t="inlineStr">
        <is>
          <t>현철-연금</t>
        </is>
      </c>
      <c r="C4" t="inlineStr">
        <is>
          <t>현철</t>
        </is>
      </c>
      <c r="D4" t="inlineStr">
        <is>
          <t>연금저축</t>
        </is>
      </c>
      <c r="E4" t="n">
        <v>200000</v>
      </c>
      <c r="F4" t="n">
        <v>6000000</v>
      </c>
      <c r="G4" t="inlineStr">
        <is>
          <t>세액공제</t>
        </is>
      </c>
      <c r="H4" t="inlineStr">
        <is>
          <t>비혼 개인</t>
        </is>
      </c>
    </row>
    <row r="5">
      <c r="A5" t="inlineStr">
        <is>
          <t>CMA</t>
        </is>
      </c>
      <c r="B5" t="inlineStr">
        <is>
          <t>현철-집마련</t>
        </is>
      </c>
      <c r="C5" t="inlineStr">
        <is>
          <t>현철</t>
        </is>
      </c>
      <c r="D5" t="inlineStr">
        <is>
          <t>삼성 CMA</t>
        </is>
      </c>
      <c r="E5" t="n">
        <v>181622</v>
      </c>
      <c r="G5" t="inlineStr">
        <is>
          <t>RP이자</t>
        </is>
      </c>
      <c r="H5" t="inlineStr">
        <is>
          <t>집값 1순위</t>
        </is>
      </c>
    </row>
    <row r="6">
      <c r="A6" t="inlineStr">
        <is>
          <t>CMA</t>
        </is>
      </c>
      <c r="B6" t="inlineStr">
        <is>
          <t>여친-집마련</t>
        </is>
      </c>
      <c r="C6" t="inlineStr">
        <is>
          <t>여친</t>
        </is>
      </c>
      <c r="D6" t="inlineStr">
        <is>
          <t>토스 파킹</t>
        </is>
      </c>
      <c r="E6" t="n">
        <v>1253459</v>
      </c>
      <c r="G6" t="inlineStr">
        <is>
          <t>고금리</t>
        </is>
      </c>
      <c r="H6" t="inlineStr">
        <is>
          <t>집값 1순위</t>
        </is>
      </c>
    </row>
    <row r="7">
      <c r="A7" t="inlineStr">
        <is>
          <t>현금</t>
        </is>
      </c>
      <c r="B7" t="inlineStr">
        <is>
          <t>여친-비상</t>
        </is>
      </c>
      <c r="C7" t="inlineStr">
        <is>
          <t>여친</t>
        </is>
      </c>
      <c r="D7" t="inlineStr">
        <is>
          <t>비자·비상</t>
        </is>
      </c>
      <c r="E7" t="n">
        <v>50000</v>
      </c>
      <c r="G7" t="inlineStr">
        <is>
          <t>D-10/F-6</t>
        </is>
      </c>
      <c r="H7" t="inlineStr">
        <is>
          <t>TOPIK6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비혼 기간 · 2인 각각 신고 (합산신고 불가)</t>
        </is>
      </c>
    </row>
    <row r="3">
      <c r="A3" s="2" t="inlineStr">
        <is>
          <t>항목</t>
        </is>
      </c>
      <c r="B3" s="2" t="inlineStr">
        <is>
          <t>현철</t>
        </is>
      </c>
      <c r="C3" s="2" t="inlineStr">
        <is>
          <t>여친</t>
        </is>
      </c>
      <c r="D3" s="2" t="inlineStr">
        <is>
          <t>메모</t>
        </is>
      </c>
    </row>
    <row r="4">
      <c r="A4" t="inlineStr">
        <is>
          <t>연 소득(만)</t>
        </is>
      </c>
      <c r="B4" t="n">
        <v>3300</v>
      </c>
      <c r="C4" t="n">
        <v>1661</v>
      </c>
      <c r="D4" t="inlineStr">
        <is>
          <t>세전</t>
        </is>
      </c>
    </row>
    <row r="5">
      <c r="A5" t="inlineStr">
        <is>
          <t>연금저축 납입(연)</t>
        </is>
      </c>
      <c r="B5" t="n">
        <v>2400000</v>
      </c>
      <c r="C5" t="n">
        <v>0</v>
      </c>
      <c r="D5" t="inlineStr">
        <is>
          <t>P1 240~400만 권장</t>
        </is>
      </c>
    </row>
    <row r="6">
      <c r="A6" t="inlineStr">
        <is>
          <t>연금 세액공제(15%)</t>
        </is>
      </c>
      <c r="B6" t="n">
        <v>360000</v>
      </c>
      <c r="C6" t="n">
        <v>0</v>
      </c>
      <c r="D6" t="inlineStr">
        <is>
          <t>P2 환급효과 미미</t>
        </is>
      </c>
    </row>
    <row r="7">
      <c r="A7" t="inlineStr">
        <is>
          <t>ISA 납입</t>
        </is>
      </c>
      <c r="B7" t="n">
        <v>6000000</v>
      </c>
      <c r="C7" t="n">
        <v>0</v>
      </c>
      <c r="D7" t="inlineStr">
        <is>
          <t>세액공제 없음·이자비과세</t>
        </is>
      </c>
    </row>
    <row r="8">
      <c r="A8" t="inlineStr">
        <is>
          <t>청년도약</t>
        </is>
      </c>
      <c r="B8" t="inlineStr">
        <is>
          <t>불가</t>
        </is>
      </c>
      <c r="C8" t="inlineStr">
        <is>
          <t>-</t>
        </is>
      </c>
      <c r="D8" t="inlineStr">
        <is>
          <t>작년(2025) 근로소득 없음</t>
        </is>
      </c>
    </row>
    <row r="9">
      <c r="A9" t="inlineStr">
        <is>
          <t>체크카드 소득공제</t>
        </is>
      </c>
      <c r="B9" t="inlineStr">
        <is>
          <t>생활비·장보기</t>
        </is>
      </c>
      <c r="C9" t="inlineStr">
        <is>
          <t>알바급여</t>
        </is>
      </c>
      <c r="D9" t="inlineStr">
        <is>
          <t>전통시장·가맹 30% 등</t>
        </is>
      </c>
    </row>
    <row r="10">
      <c r="A10" t="inlineStr">
        <is>
          <t>신용카드</t>
        </is>
      </c>
      <c r="B10" t="inlineStr">
        <is>
          <t>고정비 일부</t>
        </is>
      </c>
      <c r="C10" t="inlineStr">
        <is>
          <t>-</t>
        </is>
      </c>
      <c r="D10" t="inlineStr">
        <is>
          <t>15% 구간</t>
        </is>
      </c>
    </row>
    <row r="11">
      <c r="A11" t="inlineStr">
        <is>
          <t>예상 추가 환급(연)</t>
        </is>
      </c>
      <c r="B11" t="inlineStr">
        <is>
          <t>410,000원</t>
        </is>
      </c>
      <c r="C11" t="inlineStr">
        <is>
          <t>~0~10만</t>
        </is>
      </c>
      <c r="D11" t="inlineStr">
        <is>
          <t>연말정산</t>
        </is>
      </c>
    </row>
    <row r="12">
      <c r="A12" t="inlineStr">
        <is>
          <t>혼인 후</t>
        </is>
      </c>
      <c r="B12" t="inlineStr">
        <is>
          <t>-</t>
        </is>
      </c>
      <c r="C12" t="inlineStr">
        <is>
          <t>-</t>
        </is>
      </c>
      <c r="D12" t="inlineStr">
        <is>
          <t>신혼특공·디딤돌 8,500만 이하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시기</t>
        </is>
      </c>
      <c r="B1" s="2" t="inlineStr">
        <is>
          <t>구분</t>
        </is>
      </c>
      <c r="C1" s="2" t="inlineStr">
        <is>
          <t>할 일</t>
        </is>
      </c>
      <c r="D1" s="2" t="inlineStr">
        <is>
          <t>목표 잔고(집자금)</t>
        </is>
      </c>
    </row>
    <row r="2">
      <c r="A2" t="inlineStr">
        <is>
          <t>2026.07</t>
        </is>
      </c>
      <c r="B2" t="inlineStr">
        <is>
          <t>P0 생존</t>
        </is>
      </c>
      <c r="C2" t="inlineStr">
        <is>
          <t>현철 월급만·고정비 140만·ISA/연금 보류</t>
        </is>
      </c>
    </row>
    <row r="3">
      <c r="A3" t="inlineStr">
        <is>
          <t>2026.08</t>
        </is>
      </c>
      <c r="B3" t="inlineStr">
        <is>
          <t>P1 저축전성</t>
        </is>
      </c>
      <c r="C3" t="inlineStr">
        <is>
          <t>급여일 자산분배·여가 0</t>
        </is>
      </c>
    </row>
    <row r="4">
      <c r="A4" t="inlineStr">
        <is>
          <t>2027.02</t>
        </is>
      </c>
      <c r="B4" t="inlineStr">
        <is>
          <t>비자</t>
        </is>
      </c>
      <c r="C4" t="inlineStr">
        <is>
          <t>D-10 연장 (TOPIK6)</t>
        </is>
      </c>
    </row>
    <row r="5">
      <c r="A5" t="inlineStr">
        <is>
          <t>2028.H2</t>
        </is>
      </c>
      <c r="B5" t="inlineStr">
        <is>
          <t>P2 혼인</t>
        </is>
      </c>
      <c r="C5" t="inlineStr">
        <is>
          <t>혼인신고·예식·신혼특공</t>
        </is>
      </c>
    </row>
    <row r="6">
      <c r="A6" t="inlineStr">
        <is>
          <t>2029.06</t>
        </is>
      </c>
      <c r="B6" t="inlineStr">
        <is>
          <t>P3 숨통</t>
        </is>
      </c>
      <c r="C6" t="inlineStr">
        <is>
          <t>카카오 상환 끝·월 +92,220</t>
        </is>
      </c>
    </row>
    <row r="7">
      <c r="A7" t="inlineStr">
        <is>
          <t>2029</t>
        </is>
      </c>
      <c r="B7" t="inlineStr">
        <is>
          <t>P3 분양</t>
        </is>
      </c>
      <c r="C7" t="inlineStr">
        <is>
          <t>계약금·중도금(집단대출)</t>
        </is>
      </c>
    </row>
    <row r="8">
      <c r="A8" t="inlineStr">
        <is>
          <t>2031~32</t>
        </is>
      </c>
      <c r="B8" t="inlineStr">
        <is>
          <t>P4 입주</t>
        </is>
      </c>
      <c r="C8" t="inlineStr">
        <is>
          <t>디딤돌 28,000만·여유 ~73만/월</t>
        </is>
      </c>
    </row>
    <row r="9">
      <c r="A9" t="inlineStr">
        <is>
          <t>2033~</t>
        </is>
      </c>
      <c r="B9" t="inlineStr">
        <is>
          <t>P5 안정</t>
        </is>
      </c>
      <c r="C9" t="inlineStr">
        <is>
          <t>용돈·외식 복구·허리띠 풀기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월차</t>
        </is>
      </c>
      <c r="B1" s="2" t="inlineStr">
        <is>
          <t>년월</t>
        </is>
      </c>
      <c r="C1" s="2" t="inlineStr">
        <is>
          <t>월저축</t>
        </is>
      </c>
      <c r="D1" s="2" t="inlineStr">
        <is>
          <t>누적(집자금)</t>
        </is>
      </c>
    </row>
    <row r="2">
      <c r="A2" t="n">
        <v>0</v>
      </c>
      <c r="B2" t="inlineStr">
        <is>
          <t>2026-07</t>
        </is>
      </c>
      <c r="C2" t="n">
        <v>0</v>
      </c>
      <c r="D2" t="n">
        <v>0</v>
      </c>
    </row>
    <row r="3">
      <c r="A3" t="n">
        <v>1</v>
      </c>
      <c r="B3" t="inlineStr">
        <is>
          <t>2026-08</t>
        </is>
      </c>
      <c r="C3" t="n">
        <v>1935081</v>
      </c>
      <c r="D3" t="n">
        <v>1935081</v>
      </c>
    </row>
    <row r="4">
      <c r="A4" t="n">
        <v>2</v>
      </c>
      <c r="B4" t="inlineStr">
        <is>
          <t>2026-09</t>
        </is>
      </c>
      <c r="C4" t="n">
        <v>1935081</v>
      </c>
      <c r="D4" t="n">
        <v>3870162</v>
      </c>
    </row>
    <row r="5">
      <c r="A5" t="n">
        <v>3</v>
      </c>
      <c r="B5" t="inlineStr">
        <is>
          <t>2026-10</t>
        </is>
      </c>
      <c r="C5" t="n">
        <v>1935081</v>
      </c>
      <c r="D5" t="n">
        <v>5805243</v>
      </c>
    </row>
    <row r="6">
      <c r="A6" t="n">
        <v>4</v>
      </c>
      <c r="B6" t="inlineStr">
        <is>
          <t>2026-11</t>
        </is>
      </c>
      <c r="C6" t="n">
        <v>1935081</v>
      </c>
      <c r="D6" t="n">
        <v>7740324</v>
      </c>
    </row>
    <row r="7">
      <c r="A7" t="n">
        <v>5</v>
      </c>
      <c r="B7" t="inlineStr">
        <is>
          <t>2026-12</t>
        </is>
      </c>
      <c r="C7" t="n">
        <v>1935081</v>
      </c>
      <c r="D7" t="n">
        <v>9675405</v>
      </c>
    </row>
    <row r="8">
      <c r="A8" t="n">
        <v>6</v>
      </c>
      <c r="B8" t="inlineStr">
        <is>
          <t>2027-01</t>
        </is>
      </c>
      <c r="C8" t="n">
        <v>1935081</v>
      </c>
      <c r="D8" t="n">
        <v>11610486</v>
      </c>
    </row>
    <row r="9">
      <c r="A9" t="n">
        <v>7</v>
      </c>
      <c r="B9" t="inlineStr">
        <is>
          <t>2027-02</t>
        </is>
      </c>
      <c r="C9" t="n">
        <v>1935081</v>
      </c>
      <c r="D9" t="n">
        <v>13545567</v>
      </c>
    </row>
    <row r="10">
      <c r="A10" t="n">
        <v>8</v>
      </c>
      <c r="B10" t="inlineStr">
        <is>
          <t>2027-03</t>
        </is>
      </c>
      <c r="C10" t="n">
        <v>1935081</v>
      </c>
      <c r="D10" t="n">
        <v>15480648</v>
      </c>
    </row>
    <row r="11">
      <c r="A11" t="n">
        <v>9</v>
      </c>
      <c r="B11" t="inlineStr">
        <is>
          <t>2027-04</t>
        </is>
      </c>
      <c r="C11" t="n">
        <v>1935081</v>
      </c>
      <c r="D11" t="n">
        <v>17415729</v>
      </c>
    </row>
    <row r="12">
      <c r="A12" t="n">
        <v>10</v>
      </c>
      <c r="B12" t="inlineStr">
        <is>
          <t>2027-05</t>
        </is>
      </c>
      <c r="C12" t="n">
        <v>1935081</v>
      </c>
      <c r="D12" t="n">
        <v>19350810</v>
      </c>
    </row>
    <row r="13">
      <c r="A13" t="n">
        <v>11</v>
      </c>
      <c r="B13" t="inlineStr">
        <is>
          <t>2027-06</t>
        </is>
      </c>
      <c r="C13" t="n">
        <v>1935081</v>
      </c>
      <c r="D13" t="n">
        <v>21285891</v>
      </c>
    </row>
    <row r="14">
      <c r="A14" t="n">
        <v>12</v>
      </c>
      <c r="B14" t="inlineStr">
        <is>
          <t>2027-07</t>
        </is>
      </c>
      <c r="C14" t="n">
        <v>1935081</v>
      </c>
      <c r="D14" t="n">
        <v>23220972</v>
      </c>
    </row>
    <row r="15">
      <c r="A15" t="n">
        <v>13</v>
      </c>
      <c r="B15" t="inlineStr">
        <is>
          <t>2027-08</t>
        </is>
      </c>
      <c r="C15" t="n">
        <v>1935081</v>
      </c>
      <c r="D15" t="n">
        <v>25156053</v>
      </c>
    </row>
    <row r="16">
      <c r="A16" t="n">
        <v>14</v>
      </c>
      <c r="B16" t="inlineStr">
        <is>
          <t>2027-09</t>
        </is>
      </c>
      <c r="C16" t="n">
        <v>1935081</v>
      </c>
      <c r="D16" t="n">
        <v>27091134</v>
      </c>
    </row>
    <row r="17">
      <c r="A17" t="n">
        <v>15</v>
      </c>
      <c r="B17" t="inlineStr">
        <is>
          <t>2027-10</t>
        </is>
      </c>
      <c r="C17" t="n">
        <v>1935081</v>
      </c>
      <c r="D17" t="n">
        <v>29026215</v>
      </c>
    </row>
    <row r="18">
      <c r="A18" t="n">
        <v>16</v>
      </c>
      <c r="B18" t="inlineStr">
        <is>
          <t>2027-11</t>
        </is>
      </c>
      <c r="C18" t="n">
        <v>1935081</v>
      </c>
      <c r="D18" t="n">
        <v>30961296</v>
      </c>
    </row>
    <row r="19">
      <c r="A19" t="n">
        <v>17</v>
      </c>
      <c r="B19" t="inlineStr">
        <is>
          <t>2027-12</t>
        </is>
      </c>
      <c r="C19" t="n">
        <v>1935081</v>
      </c>
      <c r="D19" t="n">
        <v>32896377</v>
      </c>
    </row>
    <row r="20">
      <c r="A20" t="n">
        <v>18</v>
      </c>
      <c r="B20" t="inlineStr">
        <is>
          <t>2028-01</t>
        </is>
      </c>
      <c r="C20" t="n">
        <v>1935081</v>
      </c>
      <c r="D20" t="n">
        <v>34831458</v>
      </c>
    </row>
    <row r="21">
      <c r="A21" t="n">
        <v>19</v>
      </c>
      <c r="B21" t="inlineStr">
        <is>
          <t>2028-02</t>
        </is>
      </c>
      <c r="C21" t="n">
        <v>1935081</v>
      </c>
      <c r="D21" t="n">
        <v>36766539</v>
      </c>
    </row>
    <row r="22">
      <c r="A22" t="n">
        <v>20</v>
      </c>
      <c r="B22" t="inlineStr">
        <is>
          <t>2028-03</t>
        </is>
      </c>
      <c r="C22" t="n">
        <v>1935081</v>
      </c>
      <c r="D22" t="n">
        <v>38701620</v>
      </c>
    </row>
    <row r="23">
      <c r="A23" t="n">
        <v>21</v>
      </c>
      <c r="B23" t="inlineStr">
        <is>
          <t>2028-04</t>
        </is>
      </c>
      <c r="C23" t="n">
        <v>1935081</v>
      </c>
      <c r="D23" t="n">
        <v>40636701</v>
      </c>
    </row>
    <row r="24">
      <c r="A24" t="n">
        <v>22</v>
      </c>
      <c r="B24" t="inlineStr">
        <is>
          <t>2028-05</t>
        </is>
      </c>
      <c r="C24" t="n">
        <v>1935081</v>
      </c>
      <c r="D24" t="n">
        <v>42571782</v>
      </c>
    </row>
    <row r="25">
      <c r="A25" t="n">
        <v>23</v>
      </c>
      <c r="B25" t="inlineStr">
        <is>
          <t>2028-06</t>
        </is>
      </c>
      <c r="C25" t="n">
        <v>1935081</v>
      </c>
      <c r="D25" t="n">
        <v>44506863</v>
      </c>
    </row>
    <row r="26">
      <c r="A26" t="n">
        <v>24</v>
      </c>
      <c r="B26" t="inlineStr">
        <is>
          <t>2028-07</t>
        </is>
      </c>
      <c r="C26" t="n">
        <v>1935081</v>
      </c>
      <c r="D26" t="n">
        <v>46441944</v>
      </c>
    </row>
    <row r="27">
      <c r="A27" t="n">
        <v>25</v>
      </c>
      <c r="B27" t="inlineStr">
        <is>
          <t>2028-08</t>
        </is>
      </c>
      <c r="C27" t="n">
        <v>1935081</v>
      </c>
      <c r="D27" t="n">
        <v>48377025</v>
      </c>
    </row>
    <row r="28">
      <c r="A28" t="n">
        <v>26</v>
      </c>
      <c r="B28" t="inlineStr">
        <is>
          <t>2028-09</t>
        </is>
      </c>
      <c r="C28" t="n">
        <v>1935081</v>
      </c>
      <c r="D28" t="n">
        <v>50312106</v>
      </c>
    </row>
    <row r="29">
      <c r="A29" t="n">
        <v>27</v>
      </c>
      <c r="B29" t="inlineStr">
        <is>
          <t>2028-10</t>
        </is>
      </c>
      <c r="C29" t="n">
        <v>1935081</v>
      </c>
      <c r="D29" t="n">
        <v>52247187</v>
      </c>
    </row>
    <row r="30">
      <c r="A30" t="n">
        <v>28</v>
      </c>
      <c r="B30" t="inlineStr">
        <is>
          <t>2028-11</t>
        </is>
      </c>
      <c r="C30" t="n">
        <v>1935081</v>
      </c>
      <c r="D30" t="n">
        <v>54182268</v>
      </c>
    </row>
    <row r="31">
      <c r="A31" t="n">
        <v>29</v>
      </c>
      <c r="B31" t="inlineStr">
        <is>
          <t>2028-12</t>
        </is>
      </c>
      <c r="C31" t="n">
        <v>1935081</v>
      </c>
      <c r="D31" t="n">
        <v>56117349</v>
      </c>
    </row>
    <row r="32">
      <c r="A32" t="n">
        <v>30</v>
      </c>
      <c r="B32" t="inlineStr">
        <is>
          <t>2029-01</t>
        </is>
      </c>
      <c r="C32" t="n">
        <v>1935081</v>
      </c>
      <c r="D32" t="n">
        <v>58052430</v>
      </c>
    </row>
    <row r="33">
      <c r="A33" t="n">
        <v>31</v>
      </c>
      <c r="B33" t="inlineStr">
        <is>
          <t>2029-02</t>
        </is>
      </c>
      <c r="C33" t="n">
        <v>1935081</v>
      </c>
      <c r="D33" t="n">
        <v>59987511</v>
      </c>
    </row>
    <row r="34">
      <c r="A34" t="n">
        <v>32</v>
      </c>
      <c r="B34" t="inlineStr">
        <is>
          <t>2029-03</t>
        </is>
      </c>
      <c r="C34" t="n">
        <v>1935081</v>
      </c>
      <c r="D34" t="n">
        <v>61922592</v>
      </c>
    </row>
    <row r="35">
      <c r="A35" t="n">
        <v>33</v>
      </c>
      <c r="B35" t="inlineStr">
        <is>
          <t>2029-04</t>
        </is>
      </c>
      <c r="C35" t="n">
        <v>1935081</v>
      </c>
      <c r="D35" t="n">
        <v>63857673</v>
      </c>
    </row>
    <row r="36">
      <c r="A36" t="n">
        <v>34</v>
      </c>
      <c r="B36" t="inlineStr">
        <is>
          <t>2029-05</t>
        </is>
      </c>
      <c r="C36" t="n">
        <v>1935081</v>
      </c>
      <c r="D36" t="n">
        <v>65792754</v>
      </c>
    </row>
    <row r="37">
      <c r="A37" t="n">
        <v>35</v>
      </c>
      <c r="B37" t="inlineStr">
        <is>
          <t>2029-06</t>
        </is>
      </c>
      <c r="C37" t="n">
        <v>1935081</v>
      </c>
      <c r="D37" t="n">
        <v>67727835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입주 후에도 저축은 계속 — 집마련 슬롯만 여유·아이로 전환</t>
        </is>
      </c>
    </row>
    <row r="2">
      <c r="A2" t="inlineStr">
        <is>
          <t>소득 가정: 줄지 않는다 전제 — 보수적으로 연 4%</t>
        </is>
      </c>
    </row>
    <row r="4">
      <c r="A4" s="3" t="inlineStr">
        <is>
          <t>[1] 지금 vs 입주 직후</t>
        </is>
      </c>
    </row>
    <row r="5">
      <c r="A5" s="2" t="inlineStr">
        <is>
          <t>항목</t>
        </is>
      </c>
      <c r="B5" s="2" t="inlineStr">
        <is>
          <t>지금(P1)</t>
        </is>
      </c>
      <c r="C5" s="2" t="inlineStr">
        <is>
          <t>입주 후(P4)</t>
        </is>
      </c>
      <c r="D5" s="2" t="inlineStr">
        <is>
          <t>메모</t>
        </is>
      </c>
    </row>
    <row r="6">
      <c r="A6" t="inlineStr">
        <is>
          <t>세후 수입</t>
        </is>
      </c>
      <c r="B6" t="n">
        <v>4698532</v>
      </c>
      <c r="C6" t="n">
        <v>4698532</v>
      </c>
      <c r="D6" t="inlineStr">
        <is>
          <t>동일</t>
        </is>
      </c>
    </row>
    <row r="7">
      <c r="A7" t="inlineStr">
        <is>
          <t>고정비</t>
        </is>
      </c>
      <c r="B7" t="n">
        <v>1513451</v>
      </c>
      <c r="C7" t="n">
        <v>2213451</v>
      </c>
      <c r="D7" t="inlineStr">
        <is>
          <t>월세→대출+관리</t>
        </is>
      </c>
    </row>
    <row r="8">
      <c r="A8" t="inlineStr">
        <is>
          <t>식비</t>
        </is>
      </c>
      <c r="B8" t="n">
        <v>750000</v>
      </c>
      <c r="C8" t="n">
        <v>750000</v>
      </c>
      <c r="D8" t="inlineStr"/>
    </row>
    <row r="9">
      <c r="A9" t="inlineStr">
        <is>
          <t>용돈</t>
        </is>
      </c>
      <c r="B9" t="n">
        <v>250000</v>
      </c>
      <c r="C9" t="n">
        <v>250000</v>
      </c>
      <c r="D9" t="inlineStr"/>
    </row>
    <row r="10">
      <c r="A10" t="inlineStr">
        <is>
          <t>집마련 저축</t>
        </is>
      </c>
      <c r="B10" t="n">
        <v>1435081</v>
      </c>
      <c r="C10" t="n">
        <v>0</v>
      </c>
      <c r="D10" t="inlineStr">
        <is>
          <t>목표 달성·중단</t>
        </is>
      </c>
    </row>
    <row r="11">
      <c r="A11" t="inlineStr">
        <is>
          <t>ISA</t>
        </is>
      </c>
      <c r="B11" t="n">
        <v>500000</v>
      </c>
      <c r="C11" t="n">
        <v>500000</v>
      </c>
      <c r="D11" t="inlineStr">
        <is>
          <t>유지</t>
        </is>
      </c>
    </row>
    <row r="12">
      <c r="A12" t="inlineStr">
        <is>
          <t>연금</t>
        </is>
      </c>
      <c r="B12" t="n">
        <v>200000</v>
      </c>
      <c r="C12" t="n">
        <v>200000</v>
      </c>
      <c r="D12" t="inlineStr">
        <is>
          <t>유지</t>
        </is>
      </c>
    </row>
    <row r="13">
      <c r="A13" t="inlineStr">
        <is>
          <t>비자·비상</t>
        </is>
      </c>
      <c r="B13" t="n">
        <v>50000</v>
      </c>
      <c r="C13" t="n">
        <v>50000</v>
      </c>
      <c r="D13" t="inlineStr">
        <is>
          <t>유지</t>
        </is>
      </c>
    </row>
    <row r="14">
      <c r="A14" t="inlineStr">
        <is>
          <t>남는 돈(여유)</t>
        </is>
      </c>
      <c r="B14" t="n">
        <v>0</v>
      </c>
      <c r="C14" t="n">
        <v>735081</v>
      </c>
      <c r="D14" t="inlineStr">
        <is>
          <t>집마련 슬롯이 여유로 전환</t>
        </is>
      </c>
    </row>
    <row r="15">
      <c r="A15" t="inlineStr">
        <is>
          <t>월 저축+여유 합</t>
        </is>
      </c>
      <c r="B15" t="n">
        <v>2185081</v>
      </c>
      <c r="C15" t="n">
        <v>1485081</v>
      </c>
      <c r="D15" t="inlineStr">
        <is>
          <t>형태만 바뀜·총액 비슷</t>
        </is>
      </c>
    </row>
    <row r="18">
      <c r="A18" s="3" t="inlineStr">
        <is>
          <t>[2] 여유금 배분 권장 (2031~32)</t>
        </is>
      </c>
    </row>
    <row r="19">
      <c r="A19" s="2" t="inlineStr">
        <is>
          <t>용도</t>
        </is>
      </c>
      <c r="B19" s="2" t="inlineStr">
        <is>
          <t>월(원)</t>
        </is>
      </c>
      <c r="C19" s="2" t="inlineStr">
        <is>
          <t>메모</t>
        </is>
      </c>
    </row>
    <row r="20">
      <c r="A20" t="inlineStr">
        <is>
          <t>비상금 적립</t>
        </is>
      </c>
      <c r="B20" t="n">
        <v>200000</v>
      </c>
      <c r="C20" t="inlineStr">
        <is>
          <t>15M 채울 때까지</t>
        </is>
      </c>
    </row>
    <row r="21">
      <c r="A21" t="inlineStr">
        <is>
          <t>외식·여가</t>
        </is>
      </c>
      <c r="B21" t="n">
        <v>200000</v>
      </c>
      <c r="C21" t="inlineStr">
        <is>
          <t>스프린트 후 회복</t>
        </is>
      </c>
    </row>
    <row r="22">
      <c r="A22" t="inlineStr">
        <is>
          <t>자유/버퍼</t>
        </is>
      </c>
      <c r="B22" t="n">
        <v>335081</v>
      </c>
      <c r="C22" t="inlineStr">
        <is>
          <t>아이 통장 전환 전</t>
        </is>
      </c>
    </row>
    <row r="25">
      <c r="A25" s="3" t="inlineStr">
        <is>
          <t>[3] 대출 — 이자는 소멸·원금은 자산(집 지분)</t>
        </is>
      </c>
    </row>
    <row r="26">
      <c r="A26" s="2" t="inlineStr">
        <is>
          <t>연차</t>
        </is>
      </c>
      <c r="B26" s="2" t="inlineStr">
        <is>
          <t>연 납입</t>
        </is>
      </c>
      <c r="C26" s="2" t="inlineStr">
        <is>
          <t>이자(소멸)</t>
        </is>
      </c>
      <c r="D26" s="2" t="inlineStr">
        <is>
          <t>원금(자산)</t>
        </is>
      </c>
      <c r="E26" s="2" t="inlineStr">
        <is>
          <t>잔액</t>
        </is>
      </c>
    </row>
    <row r="27">
      <c r="A27" t="n">
        <v>1</v>
      </c>
      <c r="B27" t="n">
        <v>13800000</v>
      </c>
      <c r="C27" t="n">
        <v>7201733</v>
      </c>
      <c r="D27" t="n">
        <v>6598267</v>
      </c>
      <c r="E27" t="n">
        <v>273401733</v>
      </c>
    </row>
    <row r="28">
      <c r="A28" t="n">
        <v>2</v>
      </c>
      <c r="B28" t="n">
        <v>13800000</v>
      </c>
      <c r="C28" t="n">
        <v>7028118</v>
      </c>
      <c r="D28" t="n">
        <v>6771882</v>
      </c>
      <c r="E28" t="n">
        <v>266629851</v>
      </c>
    </row>
    <row r="29">
      <c r="A29" t="n">
        <v>3</v>
      </c>
      <c r="B29" t="n">
        <v>13800000</v>
      </c>
      <c r="C29" t="n">
        <v>6849937</v>
      </c>
      <c r="D29" t="n">
        <v>6950063</v>
      </c>
      <c r="E29" t="n">
        <v>259679788</v>
      </c>
    </row>
    <row r="30">
      <c r="A30" t="n">
        <v>4</v>
      </c>
      <c r="B30" t="n">
        <v>13800000</v>
      </c>
      <c r="C30" t="n">
        <v>6667067</v>
      </c>
      <c r="D30" t="n">
        <v>7132933</v>
      </c>
      <c r="E30" t="n">
        <v>252546855</v>
      </c>
    </row>
    <row r="31">
      <c r="A31" t="n">
        <v>5</v>
      </c>
      <c r="B31" t="n">
        <v>13800000</v>
      </c>
      <c r="C31" t="n">
        <v>6479383</v>
      </c>
      <c r="D31" t="n">
        <v>7320617</v>
      </c>
      <c r="E31" t="n">
        <v>245226238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>
      <c r="A1" s="1" t="inlineStr">
        <is>
          <t>출산 권장 시기: 2033 (입주 후 1~2년) · 소득 연 4% 성장</t>
        </is>
      </c>
    </row>
    <row r="2">
      <c r="A2" t="inlineStr">
        <is>
          <t>비상금 목표 15,000,000원 · 출산 전 아이통장 월 30만 권장</t>
        </is>
      </c>
    </row>
    <row r="4">
      <c r="A4" s="2" t="inlineStr">
        <is>
          <t>ID</t>
        </is>
      </c>
      <c r="B4" s="2" t="inlineStr">
        <is>
          <t>시나리오</t>
        </is>
      </c>
      <c r="C4" s="2" t="inlineStr">
        <is>
          <t>시기</t>
        </is>
      </c>
      <c r="D4" s="2" t="inlineStr">
        <is>
          <t>세후수입</t>
        </is>
      </c>
      <c r="E4" s="2" t="inlineStr">
        <is>
          <t>고정비</t>
        </is>
      </c>
      <c r="F4" s="2" t="inlineStr">
        <is>
          <t>식비</t>
        </is>
      </c>
      <c r="G4" s="2" t="inlineStr">
        <is>
          <t>용돈</t>
        </is>
      </c>
      <c r="H4" s="2" t="inlineStr">
        <is>
          <t>ISA</t>
        </is>
      </c>
      <c r="I4" s="2" t="inlineStr">
        <is>
          <t>연금+비자</t>
        </is>
      </c>
      <c r="J4" s="2" t="inlineStr">
        <is>
          <t>육아비</t>
        </is>
      </c>
      <c r="K4" s="2" t="inlineStr">
        <is>
          <t>여유</t>
        </is>
      </c>
      <c r="L4" s="2" t="inlineStr">
        <is>
          <t>저축+여유</t>
        </is>
      </c>
      <c r="M4" s="2" t="inlineStr">
        <is>
          <t>판정</t>
        </is>
      </c>
      <c r="N4" s="2" t="inlineStr">
        <is>
          <t>메모</t>
        </is>
      </c>
    </row>
    <row r="5">
      <c r="A5" t="inlineStr">
        <is>
          <t>S0</t>
        </is>
      </c>
      <c r="B5" t="inlineStr">
        <is>
          <t>무자녀</t>
        </is>
      </c>
      <c r="C5" t="inlineStr">
        <is>
          <t>2031~2032</t>
        </is>
      </c>
      <c r="D5" t="n">
        <v>4698532</v>
      </c>
      <c r="E5" t="n">
        <v>2213451</v>
      </c>
      <c r="F5" t="n">
        <v>750000</v>
      </c>
      <c r="G5" t="n">
        <v>250000</v>
      </c>
      <c r="H5" t="n">
        <v>500000</v>
      </c>
      <c r="I5" t="n">
        <v>250000</v>
      </c>
      <c r="J5" t="n">
        <v>0</v>
      </c>
      <c r="K5" t="n">
        <v>735081</v>
      </c>
      <c r="L5" t="n">
        <v>1485081</v>
      </c>
      <c r="M5" t="inlineStr">
        <is>
          <t>✅ 여유</t>
        </is>
      </c>
      <c r="N5" t="inlineStr">
        <is>
          <t>입주·대출 적응</t>
        </is>
      </c>
    </row>
    <row r="6">
      <c r="A6" t="inlineStr">
        <is>
          <t>S1</t>
        </is>
      </c>
      <c r="B6" t="inlineStr">
        <is>
          <t>무자녀+소득↑</t>
        </is>
      </c>
      <c r="C6" t="inlineStr">
        <is>
          <t>2033</t>
        </is>
      </c>
      <c r="D6" t="n">
        <v>5081932</v>
      </c>
      <c r="E6" t="n">
        <v>2213451</v>
      </c>
      <c r="F6" t="n">
        <v>750000</v>
      </c>
      <c r="G6" t="n">
        <v>350000</v>
      </c>
      <c r="H6" t="n">
        <v>500000</v>
      </c>
      <c r="I6" t="n">
        <v>250000</v>
      </c>
      <c r="J6" t="n">
        <v>0</v>
      </c>
      <c r="K6" t="n">
        <v>1018481</v>
      </c>
      <c r="L6" t="n">
        <v>1768481</v>
      </c>
      <c r="M6" t="inlineStr">
        <is>
          <t>✅ 여유</t>
        </is>
      </c>
      <c r="N6" t="inlineStr">
        <is>
          <t>세후 연4% 성장·용돈+10만</t>
        </is>
      </c>
    </row>
    <row r="7">
      <c r="A7" t="inlineStr">
        <is>
          <t>S2</t>
        </is>
      </c>
      <c r="B7" t="inlineStr">
        <is>
          <t>출산(경량)</t>
        </is>
      </c>
      <c r="C7" t="inlineStr">
        <is>
          <t>2033</t>
        </is>
      </c>
      <c r="D7" t="n">
        <v>5081932</v>
      </c>
      <c r="E7" t="n">
        <v>2213451</v>
      </c>
      <c r="F7" t="n">
        <v>900000</v>
      </c>
      <c r="G7" t="n">
        <v>250000</v>
      </c>
      <c r="H7" t="n">
        <v>500000</v>
      </c>
      <c r="I7" t="n">
        <v>250000</v>
      </c>
      <c r="J7" t="n">
        <v>500000</v>
      </c>
      <c r="K7" t="n">
        <v>468481</v>
      </c>
      <c r="L7" t="n">
        <v>1218481</v>
      </c>
      <c r="M7" t="inlineStr">
        <is>
          <t>✅ 여유</t>
        </is>
      </c>
      <c r="N7" t="inlineStr">
        <is>
          <t>어린이집·보조금 반영</t>
        </is>
      </c>
    </row>
    <row r="8">
      <c r="A8" t="inlineStr">
        <is>
          <t>S3</t>
        </is>
      </c>
      <c r="B8" t="inlineStr">
        <is>
          <t>출산(표준)</t>
        </is>
      </c>
      <c r="C8" t="inlineStr">
        <is>
          <t>2033</t>
        </is>
      </c>
      <c r="D8" t="n">
        <v>5081932</v>
      </c>
      <c r="E8" t="n">
        <v>2213451</v>
      </c>
      <c r="F8" t="n">
        <v>900000</v>
      </c>
      <c r="G8" t="n">
        <v>250000</v>
      </c>
      <c r="H8" t="n">
        <v>400000</v>
      </c>
      <c r="I8" t="n">
        <v>250000</v>
      </c>
      <c r="J8" t="n">
        <v>700000</v>
      </c>
      <c r="K8" t="n">
        <v>368481</v>
      </c>
      <c r="L8" t="n">
        <v>1018481</v>
      </c>
      <c r="M8" t="inlineStr">
        <is>
          <t>✅ 여유</t>
        </is>
      </c>
      <c r="N8" t="inlineStr">
        <is>
          <t>ISA 50→40만</t>
        </is>
      </c>
    </row>
    <row r="9">
      <c r="A9" t="inlineStr">
        <is>
          <t>S4</t>
        </is>
      </c>
      <c r="B9" t="inlineStr">
        <is>
          <t>출산(표준)+소득↑</t>
        </is>
      </c>
      <c r="C9" t="inlineStr">
        <is>
          <t>2034</t>
        </is>
      </c>
      <c r="D9" t="n">
        <v>5285209</v>
      </c>
      <c r="E9" t="n">
        <v>2213451</v>
      </c>
      <c r="F9" t="n">
        <v>900000</v>
      </c>
      <c r="G9" t="n">
        <v>250000</v>
      </c>
      <c r="H9" t="n">
        <v>500000</v>
      </c>
      <c r="I9" t="n">
        <v>250000</v>
      </c>
      <c r="J9" t="n">
        <v>700000</v>
      </c>
      <c r="K9" t="n">
        <v>471758</v>
      </c>
      <c r="L9" t="n">
        <v>1221758</v>
      </c>
      <c r="M9" t="inlineStr">
        <is>
          <t>✅ 여유</t>
        </is>
      </c>
      <c r="N9" t="inlineStr">
        <is>
          <t>1년 더 버팀·ISA 유지</t>
        </is>
      </c>
    </row>
    <row r="10">
      <c r="A10" t="inlineStr">
        <is>
          <t>S5</t>
        </is>
      </c>
      <c r="B10" t="inlineStr">
        <is>
          <t>출산(헤비)</t>
        </is>
      </c>
      <c r="C10" t="inlineStr">
        <is>
          <t>2033</t>
        </is>
      </c>
      <c r="D10" t="n">
        <v>5081932</v>
      </c>
      <c r="E10" t="n">
        <v>2213451</v>
      </c>
      <c r="F10" t="n">
        <v>900000</v>
      </c>
      <c r="G10" t="n">
        <v>250000</v>
      </c>
      <c r="H10" t="n">
        <v>300000</v>
      </c>
      <c r="I10" t="n">
        <v>250000</v>
      </c>
      <c r="J10" t="n">
        <v>1000000</v>
      </c>
      <c r="K10" t="n">
        <v>168481</v>
      </c>
      <c r="L10" t="n">
        <v>718481</v>
      </c>
      <c r="M10" t="inlineStr">
        <is>
          <t>🟡 빡빡</t>
        </is>
      </c>
      <c r="N10" t="inlineStr">
        <is>
          <t>민간보육·ISA 30만</t>
        </is>
      </c>
    </row>
    <row r="13">
      <c r="A13" s="3" t="inlineStr">
        <is>
          <t>[연도별 투영] 2033 출산(표준) 가정 — ISA 3년차부터 40만</t>
        </is>
      </c>
    </row>
    <row r="14">
      <c r="A14" s="2" t="inlineStr">
        <is>
          <t>연도</t>
        </is>
      </c>
      <c r="B14" s="2" t="inlineStr">
        <is>
          <t>세후</t>
        </is>
      </c>
      <c r="C14" s="2" t="inlineStr">
        <is>
          <t>육아비</t>
        </is>
      </c>
      <c r="D14" s="2" t="inlineStr">
        <is>
          <t>ISA</t>
        </is>
      </c>
      <c r="E14" s="2" t="inlineStr">
        <is>
          <t>여유</t>
        </is>
      </c>
      <c r="F14" s="2" t="inlineStr">
        <is>
          <t>월 저축+여유</t>
        </is>
      </c>
    </row>
    <row r="15">
      <c r="A15" t="inlineStr">
        <is>
          <t>2031+0</t>
        </is>
      </c>
      <c r="B15" t="n">
        <v>4698532</v>
      </c>
      <c r="C15" t="n">
        <v>0</v>
      </c>
      <c r="D15" t="n">
        <v>500000</v>
      </c>
      <c r="E15" t="n">
        <v>735081</v>
      </c>
      <c r="F15" t="n">
        <v>1485081</v>
      </c>
    </row>
    <row r="16">
      <c r="A16" t="inlineStr">
        <is>
          <t>2031+1</t>
        </is>
      </c>
      <c r="B16" t="n">
        <v>4886473</v>
      </c>
      <c r="C16" t="n">
        <v>0</v>
      </c>
      <c r="D16" t="n">
        <v>500000</v>
      </c>
      <c r="E16" t="n">
        <v>923022</v>
      </c>
      <c r="F16" t="n">
        <v>1673022</v>
      </c>
    </row>
    <row r="17">
      <c r="A17" t="inlineStr">
        <is>
          <t>2031+2</t>
        </is>
      </c>
      <c r="B17" t="n">
        <v>5081932</v>
      </c>
      <c r="C17" t="n">
        <v>700000</v>
      </c>
      <c r="D17" t="n">
        <v>400000</v>
      </c>
      <c r="E17" t="n">
        <v>368481</v>
      </c>
      <c r="F17" t="n">
        <v>1018481</v>
      </c>
    </row>
    <row r="18">
      <c r="A18" t="inlineStr">
        <is>
          <t>2031+3</t>
        </is>
      </c>
      <c r="B18" t="n">
        <v>5285209</v>
      </c>
      <c r="C18" t="n">
        <v>700000</v>
      </c>
      <c r="D18" t="n">
        <v>400000</v>
      </c>
      <c r="E18" t="n">
        <v>571758</v>
      </c>
      <c r="F18" t="n">
        <v>1221758</v>
      </c>
    </row>
    <row r="19">
      <c r="A19" t="inlineStr">
        <is>
          <t>2031+4</t>
        </is>
      </c>
      <c r="B19" t="n">
        <v>5496617</v>
      </c>
      <c r="C19" t="n">
        <v>700000</v>
      </c>
      <c r="D19" t="n">
        <v>400000</v>
      </c>
      <c r="E19" t="n">
        <v>783166</v>
      </c>
      <c r="F19" t="n">
        <v>1433166</v>
      </c>
    </row>
    <row r="20">
      <c r="A20" t="inlineStr">
        <is>
          <t>2031+5</t>
        </is>
      </c>
      <c r="B20" t="n">
        <v>5716482</v>
      </c>
      <c r="C20" t="n">
        <v>700000</v>
      </c>
      <c r="D20" t="n">
        <v>400000</v>
      </c>
      <c r="E20" t="n">
        <v>1003031</v>
      </c>
      <c r="F20" t="n">
        <v>1653031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담당</t>
        </is>
      </c>
      <c r="B1" s="2" t="inlineStr">
        <is>
          <t>월 용돈</t>
        </is>
      </c>
      <c r="C1" s="2" t="inlineStr">
        <is>
          <t>포함</t>
        </is>
      </c>
      <c r="D1" s="2" t="inlineStr">
        <is>
          <t>미포함</t>
        </is>
      </c>
    </row>
    <row r="2">
      <c r="A2" t="inlineStr">
        <is>
          <t>현철</t>
        </is>
      </c>
      <c r="B2" t="n">
        <v>150000</v>
      </c>
      <c r="C2" t="inlineStr">
        <is>
          <t>개인 취미·의류·PC</t>
        </is>
      </c>
      <c r="D2" t="inlineStr">
        <is>
          <t>장보기·고정비·저축</t>
        </is>
      </c>
    </row>
    <row r="3">
      <c r="A3" t="inlineStr">
        <is>
          <t>여친</t>
        </is>
      </c>
      <c r="B3" t="n">
        <v>100000</v>
      </c>
      <c r="C3" t="inlineStr">
        <is>
          <t>개인 소비</t>
        </is>
      </c>
      <c r="D3" t="inlineStr">
        <is>
          <t>공동 식비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2026-07-02T01:28:00Z</dcterms:created>
  <dcterms:modified xmlns:dcterms="http://purl.org/dc/terms/" xmlns:xsi="http://www.w3.org/2001/XMLSchema-instance" xsi:type="dcterms:W3CDTF">2026-07-02T01:28:00Z</dcterms:modified>
</cp:coreProperties>
</file>